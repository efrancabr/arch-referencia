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ancobonsucesso-my.sharepoint.com/personal/luis_felix_bs2tecnologia_com_br/Documents/Área de Trabalho/EVIDENCIAS PCI/PCI 2026/12.8.3/"/>
    </mc:Choice>
  </mc:AlternateContent>
  <xr:revisionPtr revIDLastSave="0" documentId="8_{48B7EE12-3AC1-4D00-9497-ADEF70B9C76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Questionário" sheetId="1" r:id="rId1"/>
    <sheet name="Lista" sheetId="6" state="hidden" r:id="rId2"/>
    <sheet name="Pontuação" sheetId="3" r:id="rId3"/>
    <sheet name="Gráfico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7" i="1" l="1"/>
  <c r="E118" i="1"/>
  <c r="E119" i="1"/>
  <c r="E120" i="1"/>
  <c r="E121" i="1"/>
  <c r="E94" i="1"/>
  <c r="G94" i="1"/>
  <c r="G120" i="1"/>
  <c r="G119" i="1"/>
  <c r="G113" i="1"/>
  <c r="E113" i="1"/>
  <c r="G112" i="1"/>
  <c r="E112" i="1"/>
  <c r="G87" i="1"/>
  <c r="E87" i="1"/>
  <c r="G86" i="1"/>
  <c r="E86" i="1"/>
  <c r="G85" i="1"/>
  <c r="E85" i="1"/>
  <c r="G84" i="1"/>
  <c r="E84" i="1"/>
  <c r="G83" i="1"/>
  <c r="E83" i="1"/>
  <c r="G82" i="1"/>
  <c r="E82" i="1"/>
  <c r="G81" i="1"/>
  <c r="E81" i="1"/>
  <c r="G80" i="1"/>
  <c r="E80" i="1"/>
  <c r="G79" i="1"/>
  <c r="E79" i="1"/>
  <c r="G78" i="1"/>
  <c r="E78" i="1"/>
  <c r="G69" i="1"/>
  <c r="E69" i="1"/>
  <c r="G68" i="1"/>
  <c r="E68" i="1"/>
  <c r="G67" i="1"/>
  <c r="E67" i="1"/>
  <c r="G66" i="1"/>
  <c r="E66" i="1"/>
  <c r="G65" i="1"/>
  <c r="E65" i="1"/>
  <c r="G64" i="1"/>
  <c r="E64" i="1"/>
  <c r="G63" i="1"/>
  <c r="E63" i="1"/>
  <c r="G62" i="1"/>
  <c r="E62" i="1"/>
  <c r="G88" i="1"/>
  <c r="E88" i="1"/>
  <c r="G77" i="1"/>
  <c r="E77" i="1"/>
  <c r="G76" i="1"/>
  <c r="E76" i="1"/>
  <c r="G75" i="1"/>
  <c r="E75" i="1"/>
  <c r="G74" i="1"/>
  <c r="E74" i="1"/>
  <c r="G73" i="1"/>
  <c r="E73" i="1"/>
  <c r="G72" i="1"/>
  <c r="E72" i="1"/>
  <c r="G71" i="1"/>
  <c r="E71" i="1"/>
  <c r="G70" i="1"/>
  <c r="E70" i="1"/>
  <c r="G53" i="1"/>
  <c r="E53" i="1"/>
  <c r="G52" i="1"/>
  <c r="E52" i="1"/>
  <c r="G54" i="1"/>
  <c r="E54" i="1"/>
  <c r="G55" i="1"/>
  <c r="E55" i="1"/>
  <c r="G51" i="1"/>
  <c r="E51" i="1"/>
  <c r="G50" i="1"/>
  <c r="E50" i="1"/>
  <c r="E24" i="1"/>
  <c r="G118" i="1"/>
  <c r="F39" i="3"/>
  <c r="G25" i="1"/>
  <c r="G26" i="1"/>
  <c r="G27" i="1"/>
  <c r="G28" i="1"/>
  <c r="G24" i="1"/>
  <c r="E26" i="1"/>
  <c r="E27" i="1"/>
  <c r="E28" i="1"/>
  <c r="E25" i="1"/>
  <c r="G121" i="1"/>
  <c r="G117" i="1"/>
  <c r="G111" i="1"/>
  <c r="E111" i="1"/>
  <c r="G110" i="1"/>
  <c r="E110" i="1"/>
  <c r="G109" i="1"/>
  <c r="E109" i="1"/>
  <c r="G108" i="1"/>
  <c r="E108" i="1"/>
  <c r="G107" i="1"/>
  <c r="E107" i="1"/>
  <c r="G106" i="1"/>
  <c r="E106" i="1"/>
  <c r="G105" i="1"/>
  <c r="E105" i="1"/>
  <c r="G104" i="1"/>
  <c r="E104" i="1"/>
  <c r="G103" i="1"/>
  <c r="E103" i="1"/>
  <c r="G102" i="1"/>
  <c r="E102" i="1"/>
  <c r="G101" i="1"/>
  <c r="E101" i="1"/>
  <c r="G58" i="1"/>
  <c r="E58" i="1"/>
  <c r="G57" i="1"/>
  <c r="E57" i="1"/>
  <c r="G56" i="1"/>
  <c r="E56" i="1"/>
  <c r="G49" i="1"/>
  <c r="E49" i="1"/>
  <c r="G48" i="1"/>
  <c r="E48" i="1"/>
  <c r="G97" i="1"/>
  <c r="E97" i="1"/>
  <c r="G96" i="1"/>
  <c r="E96" i="1"/>
  <c r="G95" i="1"/>
  <c r="E95" i="1"/>
  <c r="G93" i="1"/>
  <c r="E93" i="1"/>
  <c r="G92" i="1"/>
  <c r="E92" i="1"/>
  <c r="G91" i="1"/>
  <c r="E91" i="1"/>
  <c r="G90" i="1"/>
  <c r="E90" i="1"/>
  <c r="G89" i="1"/>
  <c r="E89" i="1"/>
  <c r="E35" i="1"/>
  <c r="G35" i="1"/>
  <c r="E36" i="1"/>
  <c r="G36" i="1"/>
  <c r="E37" i="1"/>
  <c r="G37" i="1"/>
  <c r="E38" i="1"/>
  <c r="G38" i="1"/>
  <c r="E39" i="1"/>
  <c r="G39" i="1"/>
  <c r="E40" i="1"/>
  <c r="G40" i="1"/>
  <c r="E41" i="1"/>
  <c r="G41" i="1"/>
  <c r="E42" i="1"/>
  <c r="G42" i="1"/>
  <c r="E43" i="1"/>
  <c r="G43" i="1"/>
  <c r="E44" i="1"/>
  <c r="G44" i="1"/>
  <c r="F22" i="1" l="1"/>
  <c r="D22" i="1"/>
  <c r="I60" i="1"/>
  <c r="E60" i="1"/>
  <c r="I46" i="1"/>
  <c r="I115" i="1"/>
  <c r="E115" i="1"/>
  <c r="D14" i="3"/>
  <c r="C14" i="3"/>
  <c r="E46" i="1"/>
  <c r="I33" i="1"/>
  <c r="E33" i="1"/>
  <c r="E99" i="1"/>
  <c r="I99" i="1"/>
  <c r="H60" i="1" l="1"/>
  <c r="H33" i="1"/>
  <c r="H46" i="1"/>
  <c r="H115" i="1"/>
  <c r="J115" i="1"/>
  <c r="H99" i="1"/>
  <c r="D20" i="3"/>
  <c r="B28" i="3"/>
  <c r="C28" i="3" l="1"/>
  <c r="D28" i="3"/>
  <c r="E28" i="3" l="1"/>
  <c r="D27" i="3" l="1"/>
  <c r="D19" i="3"/>
  <c r="D18" i="3"/>
  <c r="D15" i="3"/>
  <c r="D13" i="3"/>
  <c r="D11" i="3" l="1"/>
  <c r="D25" i="3"/>
  <c r="D26" i="3"/>
  <c r="D24" i="3"/>
  <c r="D12" i="3"/>
  <c r="D22" i="3"/>
  <c r="F7" i="4"/>
  <c r="E7" i="4"/>
  <c r="D7" i="4"/>
  <c r="F6" i="4"/>
  <c r="E6" i="4"/>
  <c r="D6" i="4"/>
  <c r="F5" i="4"/>
  <c r="E5" i="4"/>
  <c r="D5" i="4"/>
  <c r="F4" i="4"/>
  <c r="E4" i="4"/>
  <c r="D4" i="4"/>
  <c r="F3" i="4"/>
  <c r="E3" i="4"/>
  <c r="D3" i="4"/>
  <c r="C7" i="4"/>
  <c r="C6" i="4"/>
  <c r="C5" i="4"/>
  <c r="C4" i="4"/>
  <c r="C3" i="4"/>
  <c r="B27" i="3"/>
  <c r="B26" i="3"/>
  <c r="B25" i="3"/>
  <c r="B24" i="3"/>
  <c r="B22" i="3"/>
  <c r="B21" i="3"/>
  <c r="B20" i="3"/>
  <c r="B19" i="3"/>
  <c r="B18" i="3"/>
  <c r="B17" i="3"/>
  <c r="B16" i="3"/>
  <c r="B14" i="3"/>
  <c r="B13" i="3"/>
  <c r="B12" i="3"/>
  <c r="B11" i="3"/>
  <c r="C4" i="3"/>
  <c r="C3" i="3"/>
  <c r="G3" i="4" l="1"/>
  <c r="G6" i="4"/>
  <c r="G4" i="4"/>
  <c r="G5" i="4"/>
  <c r="G7" i="4"/>
  <c r="D21" i="3"/>
  <c r="D17" i="3"/>
  <c r="D16" i="3"/>
  <c r="C13" i="3" l="1"/>
  <c r="E13" i="3" s="1"/>
  <c r="C27" i="3"/>
  <c r="E27" i="3" s="1"/>
  <c r="C15" i="3"/>
  <c r="E15" i="3" s="1"/>
  <c r="C11" i="3"/>
  <c r="E11" i="3" s="1"/>
  <c r="C19" i="3"/>
  <c r="E19" i="3" s="1"/>
  <c r="C18" i="3"/>
  <c r="E18" i="3" s="1"/>
  <c r="E14" i="3"/>
  <c r="C12" i="3"/>
  <c r="E12" i="3" s="1"/>
  <c r="C17" i="3"/>
  <c r="E17" i="3" s="1"/>
  <c r="C16" i="3"/>
  <c r="E16" i="3" s="1"/>
  <c r="C20" i="3"/>
  <c r="E20" i="3" s="1"/>
  <c r="C26" i="3"/>
  <c r="E26" i="3" s="1"/>
  <c r="C25" i="3"/>
  <c r="E25" i="3" s="1"/>
  <c r="C24" i="3"/>
  <c r="E24" i="3" s="1"/>
  <c r="C21" i="3"/>
  <c r="E21" i="3" s="1"/>
  <c r="C22" i="3"/>
  <c r="E22" i="3" s="1"/>
  <c r="E29" i="3" l="1"/>
  <c r="C5" i="3" s="1"/>
</calcChain>
</file>

<file path=xl/sharedStrings.xml><?xml version="1.0" encoding="utf-8"?>
<sst xmlns="http://schemas.openxmlformats.org/spreadsheetml/2006/main" count="336" uniqueCount="266">
  <si>
    <t xml:space="preserve">Questionário de Avaliação de fornecedor
Segurança da Informação </t>
  </si>
  <si>
    <t xml:space="preserve"> Informações gerais do fornecedor</t>
  </si>
  <si>
    <t>Informações gerais:</t>
  </si>
  <si>
    <t>Nome do Fornecedor:</t>
  </si>
  <si>
    <t>CNPJ do Fornecedor:</t>
  </si>
  <si>
    <t>Data do Preenchimento:</t>
  </si>
  <si>
    <t>Endereço da Empresa:</t>
  </si>
  <si>
    <t>Responsável pelo preenchimento:</t>
  </si>
  <si>
    <t>Cargo e área do responsável pelo preenchimento:</t>
  </si>
  <si>
    <t>Informações sobre o serviço a ser prestado pelo Fornecedor</t>
  </si>
  <si>
    <t>#</t>
  </si>
  <si>
    <t>Questão</t>
  </si>
  <si>
    <t>Resposta</t>
  </si>
  <si>
    <t>Qual é a funcionalidade da ferramenta/sistema?</t>
  </si>
  <si>
    <t>Infraestrutura BS2 ou Terceira?</t>
  </si>
  <si>
    <t>O serviço será prestado de forma contínua, sob demanda ou em projetos pontuais?</t>
  </si>
  <si>
    <t xml:space="preserve"> Avaliação de relevância do fornecedor</t>
  </si>
  <si>
    <t>Fornecedor Relevante</t>
  </si>
  <si>
    <t>Avaliação geral</t>
  </si>
  <si>
    <t>Avaliação SI</t>
  </si>
  <si>
    <t>Resultado</t>
  </si>
  <si>
    <t>Resultado SI</t>
  </si>
  <si>
    <t>Explanação</t>
  </si>
  <si>
    <t>O fornecedor irá processar ou armazenar dados sensíveis em nuvem? Quais? Em qual região serão armazenados?</t>
  </si>
  <si>
    <t>A descontinuidade momentânea do fornecedor afeta significativamente algum processo ou serviço das empresas BS2 ?</t>
  </si>
  <si>
    <t>Os serviços/ sistemas fornecidos pelo terceiro, contemplam áreas e/ ou processos críticos?</t>
  </si>
  <si>
    <t>O serviço/ sistema está vinculado aos produtos/negócios mais rentáveis para as empresas BS2 ?</t>
  </si>
  <si>
    <t>Valor do contrato é relevante (valores totais pagos acima de R$ 100 mil/mês, por exemplo)?</t>
  </si>
  <si>
    <t>Fornecedor - Sobre a estrutura de SI:</t>
  </si>
  <si>
    <t>Obs.: Essas questões devem ser respondidas com base na estrutura da empresa do fornecedor a ser contratado ou serviço a ser contratada.</t>
  </si>
  <si>
    <t>1. Privacidade de Dados</t>
  </si>
  <si>
    <t>Média total:</t>
  </si>
  <si>
    <t xml:space="preserve">Resposta do Fornecedor </t>
  </si>
  <si>
    <t>Avaliação BS2</t>
  </si>
  <si>
    <t>Evidência</t>
  </si>
  <si>
    <t>Plano de Ação</t>
  </si>
  <si>
    <t>Data de Implementação</t>
  </si>
  <si>
    <t>1.1</t>
  </si>
  <si>
    <r>
      <t>A empresa processará dados pessoais de colaboradores, clientes finais, não clientes, parceiros de negócios e/ou sócios do grupo BS2, seja de forma direta ou indireta, para a execução do serviço?</t>
    </r>
    <r>
      <rPr>
        <b/>
        <sz val="12"/>
        <color theme="1"/>
        <rFont val="Calibri"/>
        <family val="2"/>
        <scheme val="minor"/>
      </rPr>
      <t xml:space="preserve"> Em caso afirmativo, listar os dados pessoais que a empresa pretende tratar.</t>
    </r>
  </si>
  <si>
    <t>1.2</t>
  </si>
  <si>
    <r>
      <rPr>
        <sz val="12"/>
        <color rgb="FF000000"/>
        <rFont val="Calibri"/>
        <scheme val="minor"/>
      </rPr>
      <t xml:space="preserve">A empresa designou um Encarregado/DPO ou responsável pela privacidade de dados? </t>
    </r>
    <r>
      <rPr>
        <b/>
        <sz val="12"/>
        <color rgb="FF000000"/>
        <rFont val="Calibri"/>
        <scheme val="minor"/>
      </rPr>
      <t>Caso afirmativo, favor fornecer os dados de contato, incluindo nome, e-mail, telefone e cargo.</t>
    </r>
  </si>
  <si>
    <t>1.3</t>
  </si>
  <si>
    <t>Existe uma Política de Privacidade atualizada nos últimos 12 meses, aprovada pela administração? Se sim, por favor, disponibilize-a.</t>
  </si>
  <si>
    <t>1.4</t>
  </si>
  <si>
    <r>
      <t xml:space="preserve">Qual é o tipo de relação de compartilhamento de dados previsto entre a empresa e o Grupo BS2? </t>
    </r>
    <r>
      <rPr>
        <b/>
        <sz val="12"/>
        <color theme="1"/>
        <rFont val="Calibri"/>
        <family val="2"/>
        <scheme val="minor"/>
      </rPr>
      <t>Por favor, detalhe informando os dados envolvidos e a forma de compartilhamento.</t>
    </r>
  </si>
  <si>
    <t>1.5</t>
  </si>
  <si>
    <r>
      <t>A empresa armazenará dados pessoais em países fora do Brasil?</t>
    </r>
    <r>
      <rPr>
        <b/>
        <sz val="12"/>
        <color theme="1"/>
        <rFont val="Calibri"/>
        <family val="2"/>
        <scheme val="minor"/>
      </rPr>
      <t xml:space="preserve"> Em caso afirmativo, favor listar os dados e indicar os países onde serão armazenados.</t>
    </r>
  </si>
  <si>
    <t>1.6</t>
  </si>
  <si>
    <r>
      <t xml:space="preserve">Os dados pessoais coletados serão transferidos internacionalmente para ou recebidos de outros países além do Brasil? </t>
    </r>
    <r>
      <rPr>
        <b/>
        <sz val="12"/>
        <color theme="1"/>
        <rFont val="Calibri"/>
        <family val="2"/>
        <scheme val="minor"/>
      </rPr>
      <t>Se sim, por favor, liste os dados e indique os países envolvidos na transferência</t>
    </r>
    <r>
      <rPr>
        <sz val="12"/>
        <color theme="1"/>
        <rFont val="Calibri"/>
        <family val="2"/>
        <scheme val="minor"/>
      </rPr>
      <t>.</t>
    </r>
  </si>
  <si>
    <t>1.7</t>
  </si>
  <si>
    <r>
      <t>A solução/serviço a ser contratado(a) envolve o tratamento de dados pessoais de crianças e adolescentes?</t>
    </r>
    <r>
      <rPr>
        <b/>
        <sz val="12"/>
        <color theme="1"/>
        <rFont val="Calibri"/>
        <family val="2"/>
        <scheme val="minor"/>
      </rPr>
      <t xml:space="preserve"> Em caso afirmativo, é obtido o consentimento do responsável legal pela criança e/ou adolescente?</t>
    </r>
  </si>
  <si>
    <t>1.8</t>
  </si>
  <si>
    <r>
      <t>A solução/serviço a ser contratado(a) inclui o tratamento de dados pessoais sensíveis (como dados de saúde, raça, etnia, religião, política, etc.)?</t>
    </r>
    <r>
      <rPr>
        <b/>
        <sz val="12"/>
        <color theme="1"/>
        <rFont val="Calibri"/>
        <family val="2"/>
        <scheme val="minor"/>
      </rPr>
      <t xml:space="preserve"> Favor listar os tipos de dados, o propósito do tratamento, a base legal para esse tratamento e as medidas de segurança conforme o artigo 11 da LGPD.</t>
    </r>
  </si>
  <si>
    <t>1.9</t>
  </si>
  <si>
    <r>
      <t>Para a prestação dos serviços ao Grupo BS2, está prevista a subcontratação de outras empresas ou pessoas autônomas com acesso aos dados?</t>
    </r>
    <r>
      <rPr>
        <b/>
        <sz val="12"/>
        <color theme="1"/>
        <rFont val="Calibri"/>
        <family val="2"/>
        <scheme val="minor"/>
      </rPr>
      <t xml:space="preserve"> Em caso positivo, descreva as empresas subcontratadas, o escopo de suas atividades no serviço prestado ao Grupo BS2, os dados que terão acesso e o tipo de tratamento realizado.</t>
    </r>
  </si>
  <si>
    <t>1.10</t>
  </si>
  <si>
    <r>
      <t>Existe um software ou ferramenta ao qual transitará os dados?</t>
    </r>
    <r>
      <rPr>
        <b/>
        <sz val="11"/>
        <color theme="1"/>
        <rFont val="Calibri"/>
        <family val="2"/>
        <scheme val="minor"/>
      </rPr>
      <t xml:space="preserve"> Se sim descreva o nome.</t>
    </r>
  </si>
  <si>
    <t>2. Segurança da Informação</t>
  </si>
  <si>
    <t>2.1</t>
  </si>
  <si>
    <t>A empresa possui certificação de segurança, como a ISO 27001, ou outra compatível, como SOx, PCI, Bacen, entre outras? Caso positivo, solicitamos o envio do documento comprobatório.</t>
  </si>
  <si>
    <t>2.2</t>
  </si>
  <si>
    <t>Existe uma política de segurança da informação atualizada nos últimos 12 meses e que tenha sido aprovada pela administração? Em caso positivo, agradecemos se puder disponibilizá-la.</t>
  </si>
  <si>
    <t>2.3</t>
  </si>
  <si>
    <t>A empresa possui responsável pela segurança da informação e pelas iniciativas de segurança dentro da organização? Em caso afirmativo, por favor, fornecer o nome, cargo e e-mail do responsável.</t>
  </si>
  <si>
    <t>2.4</t>
  </si>
  <si>
    <t>A solução em questão armazena informações de cartão de crédito?</t>
  </si>
  <si>
    <t>2.5</t>
  </si>
  <si>
    <t>A empresa detém certificação PCI? Caso afirmativo, pedimos o envio do documento comprobatório.</t>
  </si>
  <si>
    <t>2.7</t>
  </si>
  <si>
    <t xml:space="preserve">Existe programa de conscientização de colaboradores, clientes e fornecedores? </t>
  </si>
  <si>
    <t>2.11</t>
  </si>
  <si>
    <t>A empresa possui contrato com terceiros para a entrega dos serviços? Quais? Descreva.</t>
  </si>
  <si>
    <t>2.12</t>
  </si>
  <si>
    <t>Os dados da contratante  são armazenados ou processados em infraestrutura/ambiente tecnológico de terceiros?</t>
  </si>
  <si>
    <t>2.13</t>
  </si>
  <si>
    <t>Possui plano de continuidade do negócio? Possui plano de crise para comunicado aos clientes em situações de crise?</t>
  </si>
  <si>
    <t>2.14</t>
  </si>
  <si>
    <t xml:space="preserve">
Possui plano de resposta a incidentes? 
</t>
  </si>
  <si>
    <t>2.15</t>
  </si>
  <si>
    <t>Possui monitoramento para eventos críticos de Segurança  e privacidade de dados?</t>
  </si>
  <si>
    <t>3. Arquitetura de Segurança</t>
  </si>
  <si>
    <t>3.1</t>
  </si>
  <si>
    <t>A solução possui integração service-to-service?</t>
  </si>
  <si>
    <t>3.2</t>
  </si>
  <si>
    <t>A solução oferece acesso de usuários através da web?</t>
  </si>
  <si>
    <t>3.4</t>
  </si>
  <si>
    <t>3.5</t>
  </si>
  <si>
    <t>3.6</t>
  </si>
  <si>
    <t>A senha possui tamanho mínimo: 12 (doze) caracteres incluindo letras maiúsculas e minúsculas, símbolos e números?</t>
  </si>
  <si>
    <t>3.7</t>
  </si>
  <si>
    <t>3.8</t>
  </si>
  <si>
    <t>A quantidade máxima de tentativas antes do bloqueio são 5 (cinco)?</t>
  </si>
  <si>
    <t>3.9</t>
  </si>
  <si>
    <t>Histórico mínimo de senhas utilizadas:6 (seis)?</t>
  </si>
  <si>
    <t>3.11</t>
  </si>
  <si>
    <t>Troca da senha padrão é alterada no primeiro acesso?</t>
  </si>
  <si>
    <t>3.12</t>
  </si>
  <si>
    <t>A solução criptografa todas as transmissões de dados, incluindo as transmissões de servidor para servidor nos datacenters?</t>
  </si>
  <si>
    <t>3.13</t>
  </si>
  <si>
    <t>A solução conta com proteção de um Web Application Firewall (WAF) para mitigar ataques como DDoS, SQL Injection, Cross-Site Scripting, Username Enumeration, Remote Code Execution, entre outros?</t>
  </si>
  <si>
    <t>3.14</t>
  </si>
  <si>
    <t>A solução utiliza protocolos como OAuth2 para autenticar e autorizar suas chamadas de API? Em caso negativo, qual é o protocolo utilizado?</t>
  </si>
  <si>
    <t>3.15</t>
  </si>
  <si>
    <t>A solução suporta a utilização de TLS 1.2 ou superior (Transport Layer Security) e/ou certificados digitais na comunicação entre os serviços?</t>
  </si>
  <si>
    <t>3.16</t>
  </si>
  <si>
    <t>A solução fornece logs de auditoria com base em eventos, operações e ações de cada usuário?</t>
  </si>
  <si>
    <t>3.17</t>
  </si>
  <si>
    <t>A solução permite o armazenamento de logs por longos períodos para fins de auditoria (mínimo 1 ano)?</t>
  </si>
  <si>
    <t>3.18</t>
  </si>
  <si>
    <t>A solução disponibiliza logs da aplicação, incluindo operações, respostas, códigos de erros, etc.?</t>
  </si>
  <si>
    <t>3.19</t>
  </si>
  <si>
    <t>A solução oferece logs baseados no dispositivo de origem do acesso, como IP de origem, ID de sessão, navegador web, usuário, segurança e alertas de incidentes?</t>
  </si>
  <si>
    <t>3.20</t>
  </si>
  <si>
    <t>A solução permite o upload de arquivos?</t>
  </si>
  <si>
    <t>3.20.1</t>
  </si>
  <si>
    <r>
      <t xml:space="preserve">Os dados são armazenados na infraestrutura do Grupo BS2? </t>
    </r>
    <r>
      <rPr>
        <b/>
        <sz val="12"/>
        <color theme="1"/>
        <rFont val="Calibri"/>
        <family val="2"/>
        <scheme val="minor"/>
      </rPr>
      <t>Se não, onde são armazenados?</t>
    </r>
  </si>
  <si>
    <t>3.20.2</t>
  </si>
  <si>
    <t>É possível criar um tenant para o Grupo BS2 na solução?</t>
  </si>
  <si>
    <t>3.21</t>
  </si>
  <si>
    <t>3.22</t>
  </si>
  <si>
    <t>3.23</t>
  </si>
  <si>
    <t>3.24</t>
  </si>
  <si>
    <t>3.25</t>
  </si>
  <si>
    <t>A metodologia de desenvolvimento de sistemas garante no início de cada projeto, que as aplicações serão desenvolvidas em conformidade como os requerimentos contratuais, regulatórios, legais e das políticas?</t>
  </si>
  <si>
    <t>3.26</t>
  </si>
  <si>
    <t>A organizaçao possui processo de gestão de mudanças, incluindo identificação, registro,  aprovação formal das mudanças significativas, teste e avaliação de impactos, comunicação ao envolvidos e rollback em caso de insucesso ou ocorrência de eventos inesperados?</t>
  </si>
  <si>
    <t>3.27</t>
  </si>
  <si>
    <t>Existem controles que assegurem a aderência a metodologia adotada ou seja durante todo o ciclo de vida de desenvolvimento, são levados em consideração pré requisitosde segurança para a garantia de qualidade?</t>
  </si>
  <si>
    <t>3.28</t>
  </si>
  <si>
    <t>A organização possui processo para a análise estática de código (Static Application Security Testing - SAST) das aplicações desenvolvidas?</t>
  </si>
  <si>
    <t>3.29</t>
  </si>
  <si>
    <t>A organização possui processo para a análise dinâmica de código (Dynamic application security testing - DAST) das aplicações desenvolvidas?</t>
  </si>
  <si>
    <t>3.30</t>
  </si>
  <si>
    <t>Os Ambientes de Banco de Dados são separado para cada atividade exemplo:  Produção, desenvolvimento, homologação, teste QA.</t>
  </si>
  <si>
    <t>3.31</t>
  </si>
  <si>
    <t>Os dados armazenados no banco estão criptografados ?</t>
  </si>
  <si>
    <t>3.32</t>
  </si>
  <si>
    <t>Para os dados armazenados no banco de Dados, existe alguma proteção contra acesso direto ? (Mascaramento, Ofuscar, anonimização ou tokenização)</t>
  </si>
  <si>
    <t>3.33</t>
  </si>
  <si>
    <t>Possui processo de gestão de vulnerabilidades?</t>
  </si>
  <si>
    <t>3.34</t>
  </si>
  <si>
    <t>A empresa possui alguma ferramenta de análise de vulnerabilidade?</t>
  </si>
  <si>
    <t>3.35</t>
  </si>
  <si>
    <t>A organização realiza PenTest (teste de invasão) no perímetro interno e externo para identificação de vulnerabilidades na rede e nas aplicações? (poderia disponibilizar o ultimo relatório?)</t>
  </si>
  <si>
    <t>3.36</t>
  </si>
  <si>
    <t>A organização permite eventuais execuções de varreduras e testes de vulnerabilidade nos serviços contratados pela Adiq?</t>
  </si>
  <si>
    <t>4. InfraEstrutura</t>
  </si>
  <si>
    <t>4.1</t>
  </si>
  <si>
    <t>Os recursos tecnológicos tais como servidores e demais equipamentos da infraestrutura, possuem estrategias de redundância para garantir a alta disponibilidade em caso de falhas?</t>
  </si>
  <si>
    <t>4.2</t>
  </si>
  <si>
    <t>O serviço é escalável para atender crescimento de demanda? Como?</t>
  </si>
  <si>
    <t>4.3</t>
  </si>
  <si>
    <t>Existe soluções para proteção do perímetro de rede? Quais?</t>
  </si>
  <si>
    <t>4.4</t>
  </si>
  <si>
    <t>A empresa possui sistema de detecção ou prevenção contra invasão?</t>
  </si>
  <si>
    <t>4.5</t>
  </si>
  <si>
    <t>Existe software de proteção contra vírus/malware para as estações de trabalho e servidores?</t>
  </si>
  <si>
    <t>4.6</t>
  </si>
  <si>
    <t xml:space="preserve">Existem procedimentos de backup e restauração dos dados?Qual a periodicidade backup total e incremental ? </t>
  </si>
  <si>
    <t>4.7</t>
  </si>
  <si>
    <t>Como é feito o armazenamento do backup (Mídia física ou nuvem)?</t>
  </si>
  <si>
    <t>4.8</t>
  </si>
  <si>
    <t xml:space="preserve">A empresa possui ferramenta de prevenção de perda de dados (ex: DLP. MFA ) </t>
  </si>
  <si>
    <t>4.9</t>
  </si>
  <si>
    <t>A empresa possui ferramenta de Antispam</t>
  </si>
  <si>
    <t>4.10</t>
  </si>
  <si>
    <t>A empresa possui ferramenta de Antivírus</t>
  </si>
  <si>
    <t>4.11</t>
  </si>
  <si>
    <t xml:space="preserve">A empresa possui ferramenta de proteção de endpoint ( Criptografia de disco  ...) </t>
  </si>
  <si>
    <t>4.12</t>
  </si>
  <si>
    <t>A organização possui controle de acesso aos pontos de rede (ex: 802.1X, Port Security, etc)?</t>
  </si>
  <si>
    <t>4.13</t>
  </si>
  <si>
    <t>A organização possui sistemas de detecção de invasão (IDS) e/ou sistemas de prevenção contra invasão (IPS) para monitorar/bloquear todo o tráfego malicioso na rede?</t>
  </si>
  <si>
    <t>5. Resolução do Banco Central do Brasil CMN nº 4.893</t>
  </si>
  <si>
    <t>5.1</t>
  </si>
  <si>
    <t>A empresa permite ao Grupo BS2 a recuperação dos dados armazenados ou processados à qualquer tempo? Se sim, em qual formato?</t>
  </si>
  <si>
    <t>5.2</t>
  </si>
  <si>
    <t>A empresa permite o provimento de informações e de recursos de gestão adequados ao monitoramento dos serviços a serem prestados?</t>
  </si>
  <si>
    <t>5.3</t>
  </si>
  <si>
    <t>A empresa possui procedimentos de comunicação em caso de alterações nas localizações onde o serviço é prestado? Descreva.</t>
  </si>
  <si>
    <t>5.4</t>
  </si>
  <si>
    <t>A empresa possibilita a exclusão dos dados pelo Grupo BS2?</t>
  </si>
  <si>
    <t>A empresa possui processo, procedimento ou controle para divulgação de informações sobre serviços subcontratados? Se sim, descreva.</t>
  </si>
  <si>
    <t xml:space="preserve">SELECIONE </t>
  </si>
  <si>
    <t>SELECIONE</t>
  </si>
  <si>
    <t>Pessoas Fisicas</t>
  </si>
  <si>
    <t>Fisica</t>
  </si>
  <si>
    <t>Sim</t>
  </si>
  <si>
    <t>Ate 500</t>
  </si>
  <si>
    <t>Dados sensiveis: ( religiao, politica, orientação sexual)</t>
  </si>
  <si>
    <t>Pessoas Juridicas</t>
  </si>
  <si>
    <t>Juridica</t>
  </si>
  <si>
    <t xml:space="preserve">Não </t>
  </si>
  <si>
    <t>Até 1.000</t>
  </si>
  <si>
    <t>Dados simples: (nome, CPF, RG, telefones, endereços CEPS)</t>
  </si>
  <si>
    <t>Ambos</t>
  </si>
  <si>
    <t>Ambas</t>
  </si>
  <si>
    <t>De 1.000 a 5.000</t>
  </si>
  <si>
    <t>Dados financeiros:(dados de conta bancária; informação salarial;)</t>
  </si>
  <si>
    <t>N/A</t>
  </si>
  <si>
    <t>De 5.000 a 10.000</t>
  </si>
  <si>
    <t>Dados de saude: (exames;tipo sanguinio; patologias, afins)</t>
  </si>
  <si>
    <t>De 10.000 a 20.000</t>
  </si>
  <si>
    <t>Dados de cartão de credito</t>
  </si>
  <si>
    <t>De 20.000 a 50.000</t>
  </si>
  <si>
    <t>De 50.000 a 100.000</t>
  </si>
  <si>
    <t>De 100.000 a 500.000</t>
  </si>
  <si>
    <t>De 500.000 a 1 Milhao</t>
  </si>
  <si>
    <t xml:space="preserve">Acima de 1 Milhao </t>
  </si>
  <si>
    <t>Clientes /parceiros comerciais da ADIQ</t>
  </si>
  <si>
    <t>Funcionários Adiq</t>
  </si>
  <si>
    <t>Patrocinadores</t>
  </si>
  <si>
    <t>Outros( explique no campo ao lado)</t>
  </si>
  <si>
    <t>Brasil</t>
  </si>
  <si>
    <t>Fora do Brasil (explique qual país)</t>
  </si>
  <si>
    <t>Avaliação do fornecedor</t>
  </si>
  <si>
    <t>Nome do Fornecedor</t>
  </si>
  <si>
    <t>Descrição do serviço contratado</t>
  </si>
  <si>
    <t>Resultado da Avaliação</t>
  </si>
  <si>
    <t>Parecer da Segurança da Informação</t>
  </si>
  <si>
    <t>Itens</t>
  </si>
  <si>
    <t>Fornecedor</t>
  </si>
  <si>
    <t>Segurança da Informação</t>
  </si>
  <si>
    <t>Média total</t>
  </si>
  <si>
    <t>Sobre a estrutura da empresa</t>
  </si>
  <si>
    <t>Sobre a Solução/Ferramenta/Serviço</t>
  </si>
  <si>
    <t>Total</t>
  </si>
  <si>
    <t xml:space="preserve">Score de Avaliação do Questionário </t>
  </si>
  <si>
    <t>Pontuação</t>
  </si>
  <si>
    <t>Recomendado - Risco Baixo</t>
  </si>
  <si>
    <t>1,00 - 1,50</t>
  </si>
  <si>
    <t>Risco Baixo</t>
  </si>
  <si>
    <t>Recomendado Com Ressalva - Risco Médio</t>
  </si>
  <si>
    <t>0,50 - 0,99</t>
  </si>
  <si>
    <t>Risco Médio</t>
  </si>
  <si>
    <t xml:space="preserve">Não Recomendado - Risco Alto / Critico </t>
  </si>
  <si>
    <t>0,00 - 0,49</t>
  </si>
  <si>
    <t xml:space="preserve">Risco Alto / Critico </t>
  </si>
  <si>
    <t xml:space="preserve">Score de Avaliação de Security scorecard </t>
  </si>
  <si>
    <t>Pontuação Obtida</t>
  </si>
  <si>
    <t>Risco</t>
  </si>
  <si>
    <t>Scorecard &gt;= 90</t>
  </si>
  <si>
    <t>Acrescenta 0,50</t>
  </si>
  <si>
    <t xml:space="preserve">Scorecard &gt;= 86 a 89 </t>
  </si>
  <si>
    <t>Acrescenta 0,25</t>
  </si>
  <si>
    <t>Scorecard &lt;= 85</t>
  </si>
  <si>
    <t xml:space="preserve">Diminui da pontuação acima 0,50 </t>
  </si>
  <si>
    <t xml:space="preserve">Risco Alto/ Critico </t>
  </si>
  <si>
    <t>Itens de Segurança</t>
  </si>
  <si>
    <t>Não atende</t>
  </si>
  <si>
    <t>Atende parcialmente</t>
  </si>
  <si>
    <t>Atende</t>
  </si>
  <si>
    <t>1. Política</t>
  </si>
  <si>
    <t>2. Conscientização</t>
  </si>
  <si>
    <t>3. Vulnerabilidades</t>
  </si>
  <si>
    <t>4. Desenvolvimento Seguro</t>
  </si>
  <si>
    <t>5. Incidentes</t>
  </si>
  <si>
    <t>\</t>
  </si>
  <si>
    <t xml:space="preserve">A empresa adota alguma metodologia de Desenvolvimento Seguro ? Qual ? </t>
  </si>
  <si>
    <t>4 - Não enviará nem receberá dados do BS2</t>
  </si>
  <si>
    <r>
      <t xml:space="preserve">A solução possui controle de acesso integrado com Single Sign-On (SSO) via SAML ou OpenID Connect (OIDC)? </t>
    </r>
    <r>
      <rPr>
        <b/>
        <sz val="12"/>
        <color rgb="FF000000"/>
        <rFont val="Calibri"/>
        <scheme val="minor"/>
      </rPr>
      <t>Em caso afirmativo, favor descrever as tecnologias utilizadas.</t>
    </r>
  </si>
  <si>
    <r>
      <t xml:space="preserve">A solução inclui mecanismos de autenticação com múltiplos fatores (MFA)? </t>
    </r>
    <r>
      <rPr>
        <b/>
        <sz val="12"/>
        <color rgb="FF000000"/>
        <rFont val="Calibri"/>
        <scheme val="minor"/>
      </rPr>
      <t>Se sim, por favor, descrever as tecnologias empregadas.</t>
    </r>
  </si>
  <si>
    <r>
      <t xml:space="preserve">Possui um período máximo de expiração de senha ? </t>
    </r>
    <r>
      <rPr>
        <b/>
        <sz val="12"/>
        <color rgb="FF000000"/>
        <rFont val="Calibri"/>
        <scheme val="minor"/>
      </rPr>
      <t xml:space="preserve">Qual o período? </t>
    </r>
  </si>
  <si>
    <r>
      <t xml:space="preserve">A solução inclui data de criação do usuário e data de último login? </t>
    </r>
    <r>
      <rPr>
        <b/>
        <sz val="12"/>
        <color rgb="FF000000"/>
        <rFont val="Calibri"/>
        <scheme val="minor"/>
      </rPr>
      <t>Em caso positivo, favor descrever as trilhas de auditoria e logs presentes na solução.</t>
    </r>
  </si>
  <si>
    <r>
      <t xml:space="preserve">A empresa implementa controles de rastreabilidade para prevenir fraudes eletrônicas? </t>
    </r>
    <r>
      <rPr>
        <b/>
        <sz val="12"/>
        <color rgb="FF000000"/>
        <rFont val="Calibri"/>
        <scheme val="minor"/>
      </rPr>
      <t>Em caso afirmativo, por favor, descrever.</t>
    </r>
  </si>
  <si>
    <r>
      <t xml:space="preserve">O armazenamento de dados é realizado de forma criptografada? </t>
    </r>
    <r>
      <rPr>
        <b/>
        <sz val="12"/>
        <color rgb="FF000000"/>
        <rFont val="Calibri"/>
        <scheme val="minor"/>
      </rPr>
      <t>Se sim, favor informar os controles de criptografia de dados existentes.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</si>
</sst>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m/yyyy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D6DE2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14"/>
      <color theme="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2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rgb="FF000000"/>
      <name val="Calibri"/>
      <scheme val="minor"/>
    </font>
    <font>
      <b/>
      <sz val="12"/>
      <color rgb="FF000000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406FB6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507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/>
      </top>
      <bottom style="thin">
        <color theme="0" tint="-0.49998474074526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 tint="-0.499984740745262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rgb="FFA5A5A5"/>
      </left>
      <right/>
      <top/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152">
    <xf numFmtId="0" fontId="0" fillId="0" borderId="0" xfId="0"/>
    <xf numFmtId="0" fontId="0" fillId="0" borderId="0" xfId="0" applyAlignment="1" applyProtection="1">
      <alignment vertical="top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0" fontId="0" fillId="0" borderId="0" xfId="0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4" fillId="7" borderId="0" xfId="0" applyFont="1" applyFill="1" applyAlignment="1" applyProtection="1">
      <alignment horizontal="center" vertical="center"/>
      <protection locked="0"/>
    </xf>
    <xf numFmtId="0" fontId="4" fillId="7" borderId="9" xfId="0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vertical="center" wrapText="1"/>
      <protection locked="0"/>
    </xf>
    <xf numFmtId="0" fontId="0" fillId="0" borderId="7" xfId="0" applyBorder="1" applyAlignment="1" applyProtection="1">
      <alignment horizontal="left" vertical="center"/>
      <protection locked="0"/>
    </xf>
    <xf numFmtId="0" fontId="1" fillId="0" borderId="0" xfId="0" applyFont="1" applyProtection="1">
      <protection locked="0"/>
    </xf>
    <xf numFmtId="0" fontId="9" fillId="5" borderId="19" xfId="0" applyFont="1" applyFill="1" applyBorder="1" applyAlignment="1" applyProtection="1">
      <alignment horizontal="left" vertical="center"/>
      <protection locked="0"/>
    </xf>
    <xf numFmtId="0" fontId="10" fillId="5" borderId="6" xfId="0" applyFont="1" applyFill="1" applyBorder="1" applyAlignment="1" applyProtection="1">
      <alignment vertical="center"/>
      <protection locked="0"/>
    </xf>
    <xf numFmtId="0" fontId="10" fillId="5" borderId="0" xfId="0" applyFont="1" applyFill="1" applyAlignme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9" borderId="1" xfId="0" applyFont="1" applyFill="1" applyBorder="1" applyAlignment="1" applyProtection="1">
      <alignment vertical="center"/>
      <protection locked="0"/>
    </xf>
    <xf numFmtId="0" fontId="3" fillId="9" borderId="4" xfId="0" applyFont="1" applyFill="1" applyBorder="1" applyAlignment="1" applyProtection="1">
      <alignment vertical="center"/>
      <protection locked="0"/>
    </xf>
    <xf numFmtId="0" fontId="5" fillId="0" borderId="7" xfId="0" applyFont="1" applyBorder="1" applyAlignment="1" applyProtection="1">
      <alignment vertical="center"/>
      <protection locked="0"/>
    </xf>
    <xf numFmtId="0" fontId="1" fillId="9" borderId="8" xfId="0" applyFont="1" applyFill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left" vertical="center" indent="1"/>
      <protection locked="0"/>
    </xf>
    <xf numFmtId="0" fontId="1" fillId="9" borderId="8" xfId="0" applyFont="1" applyFill="1" applyBorder="1" applyAlignment="1" applyProtection="1">
      <alignment horizontal="left" vertical="center"/>
      <protection locked="0"/>
    </xf>
    <xf numFmtId="0" fontId="1" fillId="10" borderId="8" xfId="0" applyFont="1" applyFill="1" applyBorder="1" applyAlignment="1" applyProtection="1">
      <alignment vertical="center"/>
      <protection locked="0"/>
    </xf>
    <xf numFmtId="2" fontId="1" fillId="10" borderId="8" xfId="0" applyNumberFormat="1" applyFont="1" applyFill="1" applyBorder="1" applyAlignment="1" applyProtection="1">
      <alignment horizontal="center" vertical="center"/>
      <protection locked="0"/>
    </xf>
    <xf numFmtId="0" fontId="10" fillId="8" borderId="4" xfId="0" applyFont="1" applyFill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left" vertical="center" indent="1"/>
    </xf>
    <xf numFmtId="2" fontId="1" fillId="10" borderId="8" xfId="0" applyNumberFormat="1" applyFont="1" applyFill="1" applyBorder="1" applyAlignment="1">
      <alignment horizontal="center" vertical="center"/>
    </xf>
    <xf numFmtId="0" fontId="12" fillId="8" borderId="8" xfId="0" applyFont="1" applyFill="1" applyBorder="1" applyAlignment="1" applyProtection="1">
      <alignment horizontal="center" vertical="center"/>
      <protection locked="0"/>
    </xf>
    <xf numFmtId="0" fontId="12" fillId="8" borderId="8" xfId="0" applyFont="1" applyFill="1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vertical="center"/>
      <protection locked="0"/>
    </xf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>
      <alignment horizontal="center" vertical="center"/>
    </xf>
    <xf numFmtId="0" fontId="6" fillId="4" borderId="0" xfId="0" applyFont="1" applyFill="1" applyAlignment="1">
      <alignment vertical="center"/>
    </xf>
    <xf numFmtId="0" fontId="3" fillId="2" borderId="5" xfId="0" applyFont="1" applyFill="1" applyBorder="1" applyAlignment="1">
      <alignment horizontal="left" vertical="center" indent="1"/>
    </xf>
    <xf numFmtId="0" fontId="3" fillId="2" borderId="5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vertical="center"/>
    </xf>
    <xf numFmtId="0" fontId="1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 indent="1"/>
    </xf>
    <xf numFmtId="0" fontId="1" fillId="3" borderId="6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4" fillId="7" borderId="0" xfId="0" applyFont="1" applyFill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 indent="1"/>
    </xf>
    <xf numFmtId="0" fontId="11" fillId="0" borderId="0" xfId="0" applyFont="1"/>
    <xf numFmtId="0" fontId="9" fillId="11" borderId="0" xfId="0" applyFont="1" applyFill="1" applyAlignment="1">
      <alignment vertical="center"/>
    </xf>
    <xf numFmtId="2" fontId="4" fillId="11" borderId="0" xfId="0" applyNumberFormat="1" applyFont="1" applyFill="1" applyAlignment="1">
      <alignment horizontal="center" vertical="center"/>
    </xf>
    <xf numFmtId="2" fontId="4" fillId="11" borderId="0" xfId="0" applyNumberFormat="1" applyFont="1" applyFill="1" applyAlignment="1">
      <alignment horizontal="right" vertical="center"/>
    </xf>
    <xf numFmtId="2" fontId="4" fillId="11" borderId="0" xfId="0" applyNumberFormat="1" applyFont="1" applyFill="1" applyAlignment="1">
      <alignment horizontal="left" vertical="center"/>
    </xf>
    <xf numFmtId="0" fontId="1" fillId="3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/>
    </xf>
    <xf numFmtId="0" fontId="14" fillId="0" borderId="7" xfId="0" applyFont="1" applyBorder="1" applyAlignment="1" applyProtection="1">
      <alignment horizontal="center" vertical="center" wrapText="1"/>
      <protection locked="0"/>
    </xf>
    <xf numFmtId="2" fontId="0" fillId="2" borderId="8" xfId="0" applyNumberFormat="1" applyFill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9" borderId="8" xfId="0" applyNumberFormat="1" applyFill="1" applyBorder="1" applyAlignment="1" applyProtection="1">
      <alignment horizontal="center" vertical="center"/>
      <protection locked="0"/>
    </xf>
    <xf numFmtId="0" fontId="13" fillId="0" borderId="1" xfId="1" applyFont="1" applyBorder="1" applyAlignment="1" applyProtection="1">
      <alignment vertical="center"/>
      <protection locked="0"/>
    </xf>
    <xf numFmtId="0" fontId="13" fillId="0" borderId="1" xfId="1" applyFont="1" applyBorder="1" applyAlignment="1" applyProtection="1">
      <alignment horizontal="center" vertical="center"/>
      <protection locked="0"/>
    </xf>
    <xf numFmtId="0" fontId="13" fillId="0" borderId="22" xfId="1" applyFont="1" applyBorder="1" applyAlignment="1" applyProtection="1">
      <alignment horizontal="center" vertical="center"/>
      <protection locked="0"/>
    </xf>
    <xf numFmtId="0" fontId="13" fillId="0" borderId="19" xfId="1" applyFont="1" applyBorder="1" applyAlignment="1" applyProtection="1">
      <alignment horizontal="center" vertical="center"/>
      <protection locked="0"/>
    </xf>
    <xf numFmtId="0" fontId="13" fillId="0" borderId="1" xfId="1" applyFont="1" applyBorder="1" applyAlignment="1" applyProtection="1">
      <alignment horizontal="center" vertical="center" wrapText="1"/>
      <protection locked="0"/>
    </xf>
    <xf numFmtId="0" fontId="13" fillId="0" borderId="5" xfId="1" applyFont="1" applyBorder="1" applyAlignment="1" applyProtection="1">
      <alignment horizontal="center" vertical="center"/>
      <protection locked="0"/>
    </xf>
    <xf numFmtId="0" fontId="18" fillId="0" borderId="29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left" vertical="center" wrapText="1"/>
    </xf>
    <xf numFmtId="0" fontId="18" fillId="0" borderId="29" xfId="0" applyFont="1" applyBorder="1" applyAlignment="1">
      <alignment horizontal="left" vertical="center" wrapText="1"/>
    </xf>
    <xf numFmtId="0" fontId="18" fillId="0" borderId="29" xfId="0" applyFont="1" applyBorder="1" applyAlignment="1">
      <alignment horizontal="left" vertical="center"/>
    </xf>
    <xf numFmtId="0" fontId="16" fillId="0" borderId="29" xfId="0" applyFont="1" applyBorder="1" applyAlignment="1">
      <alignment horizontal="left" vertical="center"/>
    </xf>
    <xf numFmtId="0" fontId="19" fillId="0" borderId="29" xfId="0" applyFont="1" applyBorder="1" applyAlignment="1">
      <alignment horizontal="left" vertical="center"/>
    </xf>
    <xf numFmtId="0" fontId="20" fillId="11" borderId="0" xfId="0" applyFont="1" applyFill="1" applyAlignment="1">
      <alignment vertical="center"/>
    </xf>
    <xf numFmtId="2" fontId="20" fillId="11" borderId="0" xfId="0" applyNumberFormat="1" applyFont="1" applyFill="1" applyAlignment="1">
      <alignment horizontal="center" vertical="center"/>
    </xf>
    <xf numFmtId="2" fontId="20" fillId="11" borderId="0" xfId="0" applyNumberFormat="1" applyFont="1" applyFill="1" applyAlignment="1">
      <alignment horizontal="right" vertical="center"/>
    </xf>
    <xf numFmtId="2" fontId="20" fillId="11" borderId="0" xfId="0" applyNumberFormat="1" applyFont="1" applyFill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2" borderId="0" xfId="0" applyFont="1" applyFill="1" applyAlignment="1" applyProtection="1">
      <alignment vertical="center" wrapText="1"/>
      <protection locked="0"/>
    </xf>
    <xf numFmtId="0" fontId="4" fillId="13" borderId="0" xfId="0" applyFont="1" applyFill="1" applyAlignment="1">
      <alignment vertical="center"/>
    </xf>
    <xf numFmtId="0" fontId="4" fillId="13" borderId="0" xfId="0" applyFont="1" applyFill="1" applyAlignment="1" applyProtection="1">
      <alignment vertical="center"/>
      <protection locked="0"/>
    </xf>
    <xf numFmtId="0" fontId="0" fillId="2" borderId="1" xfId="0" applyFill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21" fillId="3" borderId="5" xfId="0" applyFont="1" applyFill="1" applyBorder="1" applyAlignment="1">
      <alignment horizontal="center" vertical="center"/>
    </xf>
    <xf numFmtId="0" fontId="22" fillId="11" borderId="0" xfId="0" applyFont="1" applyFill="1" applyAlignment="1">
      <alignment horizontal="left" vertical="center" indent="1"/>
    </xf>
    <xf numFmtId="0" fontId="23" fillId="11" borderId="0" xfId="0" applyFont="1" applyFill="1" applyAlignment="1">
      <alignment horizontal="left" vertical="center" indent="1"/>
    </xf>
    <xf numFmtId="0" fontId="11" fillId="2" borderId="1" xfId="0" applyFont="1" applyFill="1" applyBorder="1" applyAlignment="1">
      <alignment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vertical="center" wrapText="1"/>
    </xf>
    <xf numFmtId="0" fontId="11" fillId="14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left" vertical="center" wrapText="1" indent="1"/>
    </xf>
    <xf numFmtId="0" fontId="18" fillId="14" borderId="29" xfId="0" applyFont="1" applyFill="1" applyBorder="1" applyAlignment="1">
      <alignment horizontal="center" vertical="center" wrapText="1"/>
    </xf>
    <xf numFmtId="0" fontId="18" fillId="0" borderId="26" xfId="0" applyFont="1" applyBorder="1" applyAlignment="1">
      <alignment horizontal="left" wrapText="1"/>
    </xf>
    <xf numFmtId="0" fontId="17" fillId="0" borderId="27" xfId="0" applyFont="1" applyBorder="1"/>
    <xf numFmtId="0" fontId="17" fillId="0" borderId="28" xfId="0" applyFont="1" applyBorder="1"/>
    <xf numFmtId="0" fontId="4" fillId="13" borderId="0" xfId="0" applyFont="1" applyFill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wrapText="1"/>
    </xf>
    <xf numFmtId="0" fontId="18" fillId="0" borderId="0" xfId="0" applyFont="1" applyAlignment="1">
      <alignment horizontal="center" wrapText="1"/>
    </xf>
    <xf numFmtId="0" fontId="18" fillId="0" borderId="16" xfId="0" applyFont="1" applyBorder="1" applyAlignment="1">
      <alignment horizontal="center" wrapText="1"/>
    </xf>
    <xf numFmtId="0" fontId="11" fillId="14" borderId="2" xfId="0" applyFont="1" applyFill="1" applyBorder="1" applyAlignment="1">
      <alignment horizontal="center"/>
    </xf>
    <xf numFmtId="0" fontId="11" fillId="14" borderId="4" xfId="0" applyFont="1" applyFill="1" applyBorder="1" applyAlignment="1">
      <alignment horizontal="center"/>
    </xf>
    <xf numFmtId="0" fontId="11" fillId="14" borderId="3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6" borderId="0" xfId="0" applyFont="1" applyFill="1" applyAlignment="1" applyProtection="1">
      <alignment horizontal="center" vertical="center"/>
      <protection locked="0"/>
    </xf>
    <xf numFmtId="0" fontId="4" fillId="7" borderId="12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16" fillId="0" borderId="26" xfId="0" applyFont="1" applyBorder="1" applyAlignment="1">
      <alignment horizontal="left" wrapText="1"/>
    </xf>
    <xf numFmtId="164" fontId="16" fillId="0" borderId="26" xfId="0" applyNumberFormat="1" applyFont="1" applyBorder="1" applyAlignment="1">
      <alignment horizontal="left" wrapText="1"/>
    </xf>
    <xf numFmtId="0" fontId="7" fillId="12" borderId="0" xfId="0" applyFont="1" applyFill="1" applyAlignment="1" applyProtection="1">
      <alignment horizontal="center" vertical="center" wrapText="1"/>
      <protection locked="0"/>
    </xf>
    <xf numFmtId="0" fontId="16" fillId="0" borderId="23" xfId="0" applyFont="1" applyBorder="1" applyAlignment="1">
      <alignment horizontal="left" wrapText="1"/>
    </xf>
    <xf numFmtId="0" fontId="17" fillId="0" borderId="24" xfId="0" applyFont="1" applyBorder="1"/>
    <xf numFmtId="0" fontId="17" fillId="0" borderId="25" xfId="0" applyFont="1" applyBorder="1"/>
    <xf numFmtId="0" fontId="13" fillId="0" borderId="22" xfId="1" applyFont="1" applyBorder="1" applyAlignment="1" applyProtection="1">
      <alignment horizontal="center" vertical="center"/>
      <protection locked="0"/>
    </xf>
    <xf numFmtId="0" fontId="13" fillId="0" borderId="19" xfId="1" applyFont="1" applyBorder="1" applyAlignment="1" applyProtection="1">
      <alignment horizontal="center" vertical="center"/>
      <protection locked="0"/>
    </xf>
    <xf numFmtId="0" fontId="13" fillId="0" borderId="5" xfId="1" applyFont="1" applyBorder="1" applyAlignment="1" applyProtection="1">
      <alignment horizontal="center" vertical="center"/>
      <protection locked="0"/>
    </xf>
    <xf numFmtId="0" fontId="10" fillId="8" borderId="2" xfId="0" applyFont="1" applyFill="1" applyBorder="1" applyAlignment="1" applyProtection="1">
      <alignment horizontal="center" vertical="center"/>
      <protection locked="0"/>
    </xf>
    <xf numFmtId="0" fontId="10" fillId="8" borderId="4" xfId="0" applyFont="1" applyFill="1" applyBorder="1" applyAlignment="1" applyProtection="1">
      <alignment horizontal="center" vertical="center"/>
      <protection locked="0"/>
    </xf>
    <xf numFmtId="0" fontId="7" fillId="8" borderId="6" xfId="0" applyFont="1" applyFill="1" applyBorder="1" applyAlignment="1" applyProtection="1">
      <alignment horizontal="center" vertical="center"/>
      <protection locked="0"/>
    </xf>
    <xf numFmtId="0" fontId="7" fillId="8" borderId="0" xfId="0" applyFont="1" applyFill="1" applyAlignment="1" applyProtection="1">
      <alignment horizontal="center" vertical="center"/>
      <protection locked="0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2" xfId="0" applyFont="1" applyBorder="1" applyAlignment="1" applyProtection="1">
      <alignment horizontal="center" vertical="center" wrapText="1"/>
      <protection locked="0"/>
    </xf>
    <xf numFmtId="0" fontId="15" fillId="0" borderId="4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9" fillId="8" borderId="8" xfId="0" applyFont="1" applyFill="1" applyBorder="1" applyAlignment="1" applyProtection="1">
      <alignment horizontal="center" vertical="center"/>
      <protection locked="0"/>
    </xf>
    <xf numFmtId="0" fontId="1" fillId="9" borderId="14" xfId="0" applyFont="1" applyFill="1" applyBorder="1" applyAlignment="1" applyProtection="1">
      <alignment horizontal="center" vertical="center"/>
      <protection locked="0"/>
    </xf>
    <xf numFmtId="0" fontId="1" fillId="9" borderId="15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0000000-0005-0000-0000-000001000000}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theme="5" tint="-0.24994659260841701"/>
      </font>
    </dxf>
    <dxf>
      <font>
        <b/>
        <i val="0"/>
        <color theme="9" tint="-0.24994659260841701"/>
      </font>
    </dxf>
    <dxf>
      <font>
        <color theme="0"/>
      </font>
      <fill>
        <patternFill>
          <bgColor theme="1" tint="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150779"/>
      <color rgb="FF406FB6"/>
      <color rgb="FFDADADA"/>
      <color rgb="FF00DEB2"/>
      <color rgb="FF00CC99"/>
      <color rgb="FF33CC33"/>
      <color rgb="FF7D9F30"/>
      <color rgb="FFD6DE23"/>
      <color rgb="FF17584F"/>
      <color rgb="FF1995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bg1">
                    <a:lumMod val="50000"/>
                  </a:schemeClr>
                </a:solidFill>
              </a:rPr>
              <a:t>FORNECEDOR XXXXXXXX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0611919191919192"/>
          <c:y val="0.15998194113643618"/>
          <c:w val="0.84381531255961428"/>
          <c:h val="0.47890574836943667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Gráfico!$C$2</c:f>
              <c:strCache>
                <c:ptCount val="1"/>
                <c:pt idx="0">
                  <c:v>Não atende</c:v>
                </c:pt>
              </c:strCache>
            </c:strRef>
          </c:tx>
          <c:spPr>
            <a:solidFill>
              <a:srgbClr val="19959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Gráfico!$B$3:$B$7</c:f>
              <c:strCache>
                <c:ptCount val="5"/>
                <c:pt idx="0">
                  <c:v>1. Política</c:v>
                </c:pt>
                <c:pt idx="1">
                  <c:v>2. Conscientização</c:v>
                </c:pt>
                <c:pt idx="2">
                  <c:v>3. Vulnerabilidades</c:v>
                </c:pt>
                <c:pt idx="3">
                  <c:v>4. Desenvolvimento Seguro</c:v>
                </c:pt>
                <c:pt idx="4">
                  <c:v>5. Incidentes</c:v>
                </c:pt>
              </c:strCache>
            </c:strRef>
          </c:cat>
          <c:val>
            <c:numRef>
              <c:f>Gráfico!$C$3:$C$7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E-4B32-A752-D17D4A0DB0FD}"/>
            </c:ext>
          </c:extLst>
        </c:ser>
        <c:ser>
          <c:idx val="3"/>
          <c:order val="1"/>
          <c:tx>
            <c:strRef>
              <c:f>Gráfico!$D$2</c:f>
              <c:strCache>
                <c:ptCount val="1"/>
                <c:pt idx="0">
                  <c:v>Atende parcialmente</c:v>
                </c:pt>
              </c:strCache>
            </c:strRef>
          </c:tx>
          <c:spPr>
            <a:solidFill>
              <a:srgbClr val="D6DE2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17584F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Gráfico!$B$3:$B$7</c:f>
              <c:strCache>
                <c:ptCount val="5"/>
                <c:pt idx="0">
                  <c:v>1. Política</c:v>
                </c:pt>
                <c:pt idx="1">
                  <c:v>2. Conscientização</c:v>
                </c:pt>
                <c:pt idx="2">
                  <c:v>3. Vulnerabilidades</c:v>
                </c:pt>
                <c:pt idx="3">
                  <c:v>4. Desenvolvimento Seguro</c:v>
                </c:pt>
                <c:pt idx="4">
                  <c:v>5. Incidentes</c:v>
                </c:pt>
              </c:strCache>
            </c:strRef>
          </c:cat>
          <c:val>
            <c:numRef>
              <c:f>Gráfico!$D$3:$D$7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EE-4B32-A752-D17D4A0DB0FD}"/>
            </c:ext>
          </c:extLst>
        </c:ser>
        <c:ser>
          <c:idx val="0"/>
          <c:order val="2"/>
          <c:tx>
            <c:strRef>
              <c:f>Gráfico!$E$2</c:f>
              <c:strCache>
                <c:ptCount val="1"/>
                <c:pt idx="0">
                  <c:v>Atende</c:v>
                </c:pt>
              </c:strCache>
            </c:strRef>
          </c:tx>
          <c:spPr>
            <a:solidFill>
              <a:srgbClr val="7D9F3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2.9346785154330114E-17"/>
                  <c:y val="-6.449722222222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0EE-4B32-A752-D17D4A0DB0FD}"/>
                </c:ext>
              </c:extLst>
            </c:dLbl>
            <c:dLbl>
              <c:idx val="4"/>
              <c:layout>
                <c:manualLayout>
                  <c:x val="-7.2106672753387568E-17"/>
                  <c:y val="1.091243984366182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EE-4B32-A752-D17D4A0DB0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Gráfico!$B$3:$B$7</c:f>
              <c:strCache>
                <c:ptCount val="5"/>
                <c:pt idx="0">
                  <c:v>1. Política</c:v>
                </c:pt>
                <c:pt idx="1">
                  <c:v>2. Conscientização</c:v>
                </c:pt>
                <c:pt idx="2">
                  <c:v>3. Vulnerabilidades</c:v>
                </c:pt>
                <c:pt idx="3">
                  <c:v>4. Desenvolvimento Seguro</c:v>
                </c:pt>
                <c:pt idx="4">
                  <c:v>5. Incidentes</c:v>
                </c:pt>
              </c:strCache>
            </c:strRef>
          </c:cat>
          <c:val>
            <c:numRef>
              <c:f>Gráfico!$E$3:$E$7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EE-4B32-A752-D17D4A0DB0FD}"/>
            </c:ext>
          </c:extLst>
        </c:ser>
        <c:ser>
          <c:idx val="1"/>
          <c:order val="3"/>
          <c:tx>
            <c:strRef>
              <c:f>Gráfico!$F$2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rgbClr val="17584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D6DE2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Gráfico!$B$3:$B$7</c:f>
              <c:strCache>
                <c:ptCount val="5"/>
                <c:pt idx="0">
                  <c:v>1. Política</c:v>
                </c:pt>
                <c:pt idx="1">
                  <c:v>2. Conscientização</c:v>
                </c:pt>
                <c:pt idx="2">
                  <c:v>3. Vulnerabilidades</c:v>
                </c:pt>
                <c:pt idx="3">
                  <c:v>4. Desenvolvimento Seguro</c:v>
                </c:pt>
                <c:pt idx="4">
                  <c:v>5. Incidentes</c:v>
                </c:pt>
              </c:strCache>
            </c:strRef>
          </c:cat>
          <c:val>
            <c:numRef>
              <c:f>Gráfico!$F$3:$F$7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0EE-4B32-A752-D17D4A0DB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684398752"/>
        <c:axId val="684395472"/>
      </c:barChart>
      <c:lineChart>
        <c:grouping val="percentStacked"/>
        <c:varyColors val="0"/>
        <c:ser>
          <c:idx val="4"/>
          <c:order val="4"/>
          <c:tx>
            <c:strRef>
              <c:f>Gráfico!$G$2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7D9F3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bg1">
                  <a:lumMod val="95000"/>
                </a:schemeClr>
              </a:solidFill>
              <a:ln w="12700">
                <a:solidFill>
                  <a:srgbClr val="7D9F30"/>
                </a:solidFill>
              </a:ln>
              <a:effectLst/>
            </c:spPr>
          </c:marker>
          <c:dLbls>
            <c:spPr>
              <a:solidFill>
                <a:srgbClr val="7D9F3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Gráfico!$B$3:$B$7</c:f>
              <c:strCache>
                <c:ptCount val="5"/>
                <c:pt idx="0">
                  <c:v>1. Política</c:v>
                </c:pt>
                <c:pt idx="1">
                  <c:v>2. Conscientização</c:v>
                </c:pt>
                <c:pt idx="2">
                  <c:v>3. Vulnerabilidades</c:v>
                </c:pt>
                <c:pt idx="3">
                  <c:v>4. Desenvolvimento Seguro</c:v>
                </c:pt>
                <c:pt idx="4">
                  <c:v>5. Incidentes</c:v>
                </c:pt>
              </c:strCache>
            </c:strRef>
          </c:cat>
          <c:val>
            <c:numRef>
              <c:f>Gráfico!$G$3:$G$7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EE-4B32-A752-D17D4A0DB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6436880"/>
        <c:axId val="848214984"/>
      </c:lineChart>
      <c:catAx>
        <c:axId val="684398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17584F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4395472"/>
        <c:crosses val="autoZero"/>
        <c:auto val="1"/>
        <c:lblAlgn val="ctr"/>
        <c:lblOffset val="100"/>
        <c:noMultiLvlLbl val="0"/>
      </c:catAx>
      <c:valAx>
        <c:axId val="68439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17584F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4398752"/>
        <c:crosses val="autoZero"/>
        <c:crossBetween val="midCat"/>
        <c:majorUnit val="4"/>
      </c:valAx>
      <c:valAx>
        <c:axId val="84821498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6436880"/>
        <c:crosses val="max"/>
        <c:crossBetween val="between"/>
      </c:valAx>
      <c:catAx>
        <c:axId val="7164368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82149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967117414172706"/>
          <c:y val="0.12327857272346524"/>
          <c:w val="0.60011143343924112"/>
          <c:h val="6.54509817174140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666750</xdr:colOff>
      <xdr:row>2</xdr:row>
      <xdr:rowOff>361950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96297F7-316D-83EF-0748-F2F57ED3F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8" y="381000"/>
          <a:ext cx="666750" cy="361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155865</xdr:colOff>
      <xdr:row>7</xdr:row>
      <xdr:rowOff>77973</xdr:rowOff>
    </xdr:from>
    <xdr:to>
      <xdr:col>9</xdr:col>
      <xdr:colOff>597477</xdr:colOff>
      <xdr:row>32</xdr:row>
      <xdr:rowOff>110259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B3:K127"/>
  <sheetViews>
    <sheetView showGridLines="0" tabSelected="1" topLeftCell="A3" zoomScale="60" zoomScaleNormal="60" workbookViewId="0">
      <selection activeCell="C121" sqref="C121"/>
    </sheetView>
  </sheetViews>
  <sheetFormatPr defaultColWidth="8.7265625" defaultRowHeight="14.5" zeroHeight="1" outlineLevelRow="2" x14ac:dyDescent="0.35"/>
  <cols>
    <col min="1" max="1" width="5.1796875" style="2" customWidth="1"/>
    <col min="2" max="2" width="10.54296875" style="1" customWidth="1"/>
    <col min="3" max="3" width="96.1796875" style="1" customWidth="1"/>
    <col min="4" max="4" width="39.453125" style="2" customWidth="1"/>
    <col min="5" max="5" width="18.7265625" style="3" customWidth="1"/>
    <col min="6" max="6" width="18.453125" style="3" bestFit="1" customWidth="1"/>
    <col min="7" max="7" width="20.1796875" style="3" customWidth="1"/>
    <col min="8" max="8" width="27" style="2" customWidth="1"/>
    <col min="9" max="9" width="17.453125" style="4" customWidth="1"/>
    <col min="10" max="10" width="22.81640625" style="2" customWidth="1"/>
    <col min="11" max="11" width="28.81640625" style="2" customWidth="1"/>
    <col min="12" max="16384" width="8.7265625" style="2"/>
  </cols>
  <sheetData>
    <row r="3" spans="2:11" ht="55.5" customHeight="1" x14ac:dyDescent="0.35">
      <c r="B3" s="88"/>
      <c r="C3" s="129" t="s">
        <v>0</v>
      </c>
      <c r="D3" s="129"/>
      <c r="E3" s="129"/>
      <c r="F3" s="129"/>
      <c r="G3" s="129"/>
      <c r="H3" s="129"/>
      <c r="I3" s="129"/>
      <c r="J3" s="129"/>
      <c r="K3" s="129"/>
    </row>
    <row r="4" spans="2:11" ht="15" customHeight="1" x14ac:dyDescent="0.35">
      <c r="B4" s="2"/>
      <c r="C4" s="2"/>
      <c r="E4" s="2"/>
      <c r="F4" s="2"/>
      <c r="G4" s="2"/>
    </row>
    <row r="5" spans="2:11" customFormat="1" ht="30" customHeight="1" x14ac:dyDescent="0.35">
      <c r="B5" s="36" t="s">
        <v>1</v>
      </c>
      <c r="C5" s="36"/>
      <c r="D5" s="36"/>
      <c r="E5" s="36"/>
      <c r="F5" s="36"/>
      <c r="G5" s="36"/>
      <c r="H5" s="36"/>
      <c r="I5" s="36"/>
      <c r="J5" s="36"/>
      <c r="K5" s="36"/>
    </row>
    <row r="6" spans="2:11" ht="30" customHeight="1" x14ac:dyDescent="0.35">
      <c r="B6" s="89" t="s">
        <v>2</v>
      </c>
      <c r="C6" s="89"/>
      <c r="D6" s="90"/>
      <c r="E6" s="90"/>
      <c r="F6" s="90"/>
      <c r="G6" s="90"/>
      <c r="H6" s="90"/>
      <c r="I6" s="90"/>
      <c r="J6" s="90"/>
      <c r="K6" s="90"/>
    </row>
    <row r="7" spans="2:11" ht="25" customHeight="1" outlineLevel="1" x14ac:dyDescent="0.35">
      <c r="B7" s="37" t="s">
        <v>3</v>
      </c>
      <c r="C7" s="38"/>
      <c r="D7" s="130"/>
      <c r="E7" s="131"/>
      <c r="F7" s="131"/>
      <c r="G7" s="131"/>
      <c r="H7" s="132"/>
      <c r="I7" s="118"/>
      <c r="J7" s="119"/>
      <c r="K7" s="120"/>
    </row>
    <row r="8" spans="2:11" ht="25" customHeight="1" outlineLevel="1" x14ac:dyDescent="0.35">
      <c r="B8" s="39" t="s">
        <v>4</v>
      </c>
      <c r="C8" s="40"/>
      <c r="D8" s="127"/>
      <c r="E8" s="104"/>
      <c r="F8" s="104"/>
      <c r="G8" s="104"/>
      <c r="H8" s="105"/>
      <c r="I8" s="118"/>
      <c r="J8" s="119"/>
      <c r="K8" s="120"/>
    </row>
    <row r="9" spans="2:11" ht="25" customHeight="1" outlineLevel="1" x14ac:dyDescent="0.35">
      <c r="B9" s="39" t="s">
        <v>5</v>
      </c>
      <c r="C9" s="40"/>
      <c r="D9" s="128"/>
      <c r="E9" s="104"/>
      <c r="F9" s="104"/>
      <c r="G9" s="104"/>
      <c r="H9" s="105"/>
      <c r="I9" s="118"/>
      <c r="J9" s="119"/>
      <c r="K9" s="120"/>
    </row>
    <row r="10" spans="2:11" ht="25" customHeight="1" outlineLevel="1" x14ac:dyDescent="0.35">
      <c r="B10" s="39" t="s">
        <v>6</v>
      </c>
      <c r="C10" s="40"/>
      <c r="D10" s="127"/>
      <c r="E10" s="104"/>
      <c r="F10" s="104"/>
      <c r="G10" s="104"/>
      <c r="H10" s="105"/>
      <c r="I10" s="118"/>
      <c r="J10" s="119"/>
      <c r="K10" s="120"/>
    </row>
    <row r="11" spans="2:11" ht="25" customHeight="1" outlineLevel="1" x14ac:dyDescent="0.35">
      <c r="B11" s="39" t="s">
        <v>7</v>
      </c>
      <c r="C11" s="40"/>
      <c r="D11" s="127"/>
      <c r="E11" s="104"/>
      <c r="F11" s="104"/>
      <c r="G11" s="104"/>
      <c r="H11" s="105"/>
      <c r="I11" s="118"/>
      <c r="J11" s="119"/>
      <c r="K11" s="120"/>
    </row>
    <row r="12" spans="2:11" ht="25" customHeight="1" outlineLevel="1" x14ac:dyDescent="0.35">
      <c r="B12" s="39" t="s">
        <v>8</v>
      </c>
      <c r="C12" s="40"/>
      <c r="D12" s="127"/>
      <c r="E12" s="104"/>
      <c r="F12" s="104"/>
      <c r="G12" s="104"/>
      <c r="H12" s="105"/>
      <c r="I12" s="118"/>
      <c r="J12" s="119"/>
      <c r="K12" s="120"/>
    </row>
    <row r="13" spans="2:11" ht="15" customHeight="1" x14ac:dyDescent="0.35">
      <c r="B13" s="41"/>
      <c r="C13" s="42"/>
      <c r="D13" s="5"/>
      <c r="E13" s="5"/>
      <c r="F13" s="5"/>
      <c r="G13" s="5"/>
      <c r="H13" s="5"/>
    </row>
    <row r="14" spans="2:11" customFormat="1" ht="30" customHeight="1" x14ac:dyDescent="0.35">
      <c r="B14" s="106" t="s">
        <v>9</v>
      </c>
      <c r="C14" s="106"/>
      <c r="D14" s="89"/>
      <c r="E14" s="89"/>
      <c r="F14" s="89"/>
      <c r="G14" s="89"/>
      <c r="H14" s="89"/>
      <c r="I14" s="89"/>
      <c r="J14" s="89"/>
      <c r="K14" s="89"/>
    </row>
    <row r="15" spans="2:11" customFormat="1" ht="30" customHeight="1" outlineLevel="1" x14ac:dyDescent="0.35">
      <c r="B15" s="43" t="s">
        <v>10</v>
      </c>
      <c r="C15" s="43" t="s">
        <v>11</v>
      </c>
      <c r="D15" s="115" t="s">
        <v>12</v>
      </c>
      <c r="E15" s="116"/>
      <c r="F15" s="116"/>
      <c r="G15" s="116"/>
      <c r="H15" s="117"/>
      <c r="I15" s="46"/>
      <c r="J15" s="47"/>
      <c r="K15" s="47"/>
    </row>
    <row r="16" spans="2:11" s="6" customFormat="1" ht="41.5" customHeight="1" outlineLevel="1" x14ac:dyDescent="0.35">
      <c r="B16" s="44">
        <v>1</v>
      </c>
      <c r="C16" s="45" t="s">
        <v>13</v>
      </c>
      <c r="D16" s="103"/>
      <c r="E16" s="104"/>
      <c r="F16" s="104"/>
      <c r="G16" s="104"/>
      <c r="H16" s="105"/>
      <c r="I16" s="118"/>
      <c r="J16" s="119"/>
      <c r="K16" s="120"/>
    </row>
    <row r="17" spans="2:11" s="6" customFormat="1" ht="41.5" customHeight="1" outlineLevel="1" x14ac:dyDescent="0.35">
      <c r="B17" s="44">
        <v>3</v>
      </c>
      <c r="C17" s="45" t="s">
        <v>14</v>
      </c>
      <c r="D17" s="103"/>
      <c r="E17" s="104"/>
      <c r="F17" s="104"/>
      <c r="G17" s="104"/>
      <c r="H17" s="105"/>
      <c r="I17" s="85"/>
      <c r="J17" s="86"/>
      <c r="K17" s="87"/>
    </row>
    <row r="18" spans="2:11" s="6" customFormat="1" ht="36.65" customHeight="1" outlineLevel="1" x14ac:dyDescent="0.35">
      <c r="B18" s="44">
        <v>4</v>
      </c>
      <c r="C18" s="45" t="s">
        <v>15</v>
      </c>
      <c r="D18" s="103"/>
      <c r="E18" s="104"/>
      <c r="F18" s="104"/>
      <c r="G18" s="104"/>
      <c r="H18" s="105"/>
      <c r="I18" s="118"/>
      <c r="J18" s="119"/>
      <c r="K18" s="120"/>
    </row>
    <row r="19" spans="2:11" ht="15" customHeight="1" x14ac:dyDescent="0.35">
      <c r="B19" s="2"/>
      <c r="C19" s="2"/>
      <c r="E19" s="2"/>
      <c r="F19" s="2"/>
      <c r="G19" s="2"/>
    </row>
    <row r="20" spans="2:11" ht="30" customHeight="1" x14ac:dyDescent="0.35">
      <c r="B20" s="121" t="s">
        <v>16</v>
      </c>
      <c r="C20" s="121"/>
      <c r="D20" s="121"/>
      <c r="E20" s="121"/>
      <c r="F20" s="121"/>
      <c r="G20" s="121"/>
      <c r="H20" s="121"/>
      <c r="I20" s="121"/>
      <c r="J20" s="121"/>
      <c r="K20" s="121"/>
    </row>
    <row r="21" spans="2:11" ht="30" customHeight="1" x14ac:dyDescent="0.35">
      <c r="B21" s="43"/>
      <c r="C21" s="97" t="s">
        <v>17</v>
      </c>
      <c r="D21" s="98" t="s">
        <v>18</v>
      </c>
      <c r="E21" s="98"/>
      <c r="F21" s="122" t="s">
        <v>19</v>
      </c>
      <c r="G21" s="123"/>
      <c r="H21" s="7"/>
      <c r="I21" s="7"/>
      <c r="J21" s="7"/>
      <c r="K21" s="7"/>
    </row>
    <row r="22" spans="2:11" ht="30" customHeight="1" x14ac:dyDescent="0.45">
      <c r="B22" s="8"/>
      <c r="C22" s="48"/>
      <c r="D22" s="124" t="str">
        <f>IF(OR(E24="Relevante", E25="Relevante",E26="Relevante",E27="Relevante",E28="Relevante"),"Relevante","N/A Relevante")</f>
        <v>N/A Relevante</v>
      </c>
      <c r="E22" s="125"/>
      <c r="F22" s="125" t="str">
        <f>IF(OR(G24="Relevante", G25="Relevante",G26="Relevante",G27="Relevante",G28="Relevante"),"Relevante","N/A Relevante")</f>
        <v>N/A Relevante</v>
      </c>
      <c r="G22" s="126"/>
      <c r="H22" s="8"/>
      <c r="I22" s="8"/>
      <c r="J22" s="8"/>
      <c r="K22" s="8"/>
    </row>
    <row r="23" spans="2:11" customFormat="1" ht="22.5" customHeight="1" outlineLevel="1" x14ac:dyDescent="0.35">
      <c r="B23" s="43" t="s">
        <v>10</v>
      </c>
      <c r="C23" s="43" t="s">
        <v>11</v>
      </c>
      <c r="D23" s="43" t="s">
        <v>12</v>
      </c>
      <c r="E23" s="43" t="s">
        <v>20</v>
      </c>
      <c r="F23" s="43" t="s">
        <v>12</v>
      </c>
      <c r="G23" s="43" t="s">
        <v>21</v>
      </c>
      <c r="H23" s="107" t="s">
        <v>22</v>
      </c>
      <c r="I23" s="108"/>
      <c r="J23" s="108"/>
      <c r="K23" s="108"/>
    </row>
    <row r="24" spans="2:11" s="6" customFormat="1" ht="60" customHeight="1" outlineLevel="1" x14ac:dyDescent="0.35">
      <c r="B24" s="49">
        <v>1</v>
      </c>
      <c r="C24" s="50" t="s">
        <v>23</v>
      </c>
      <c r="D24" s="74"/>
      <c r="E24" s="49" t="str">
        <f>IF(D24="Sim","Relevante","Não Relevante")</f>
        <v>Não Relevante</v>
      </c>
      <c r="F24" s="49"/>
      <c r="G24" s="49" t="str">
        <f>IF(F24="Sim","Relevante","Não Relevante")</f>
        <v>Não Relevante</v>
      </c>
      <c r="H24" s="109"/>
      <c r="I24" s="110"/>
      <c r="J24" s="110"/>
      <c r="K24" s="111"/>
    </row>
    <row r="25" spans="2:11" s="6" customFormat="1" ht="60" customHeight="1" outlineLevel="1" x14ac:dyDescent="0.35">
      <c r="B25" s="100">
        <v>2</v>
      </c>
      <c r="C25" s="101" t="s">
        <v>24</v>
      </c>
      <c r="D25" s="102"/>
      <c r="E25" s="100" t="str">
        <f>IF(D25="Sim","Relevante","Não Relevante")</f>
        <v>Não Relevante</v>
      </c>
      <c r="F25" s="100"/>
      <c r="G25" s="100" t="str">
        <f>IF(F25="Sim","Relevante","Não Relevante")</f>
        <v>Não Relevante</v>
      </c>
      <c r="H25" s="112"/>
      <c r="I25" s="113"/>
      <c r="J25" s="113"/>
      <c r="K25" s="114"/>
    </row>
    <row r="26" spans="2:11" s="6" customFormat="1" ht="60" customHeight="1" outlineLevel="1" x14ac:dyDescent="0.35">
      <c r="B26" s="100">
        <v>3</v>
      </c>
      <c r="C26" s="101" t="s">
        <v>25</v>
      </c>
      <c r="D26" s="102"/>
      <c r="E26" s="100" t="str">
        <f>IF(D26="Sim","Relevante","Não Relevante")</f>
        <v>Não Relevante</v>
      </c>
      <c r="F26" s="100"/>
      <c r="G26" s="100" t="str">
        <f>IF(F26="Sim","Relevante","Não Relevante")</f>
        <v>Não Relevante</v>
      </c>
      <c r="H26" s="112"/>
      <c r="I26" s="113"/>
      <c r="J26" s="113"/>
      <c r="K26" s="114"/>
    </row>
    <row r="27" spans="2:11" s="6" customFormat="1" ht="60" customHeight="1" outlineLevel="1" x14ac:dyDescent="0.35">
      <c r="B27" s="100">
        <v>4</v>
      </c>
      <c r="C27" s="101" t="s">
        <v>26</v>
      </c>
      <c r="D27" s="102"/>
      <c r="E27" s="100" t="str">
        <f>IF(D27="Sim","Relevante","Não Relevante")</f>
        <v>Não Relevante</v>
      </c>
      <c r="F27" s="100"/>
      <c r="G27" s="100" t="str">
        <f>IF(F27="Sim","Relevante","Não Relevante")</f>
        <v>Não Relevante</v>
      </c>
      <c r="H27" s="112"/>
      <c r="I27" s="113"/>
      <c r="J27" s="113"/>
      <c r="K27" s="114"/>
    </row>
    <row r="28" spans="2:11" s="6" customFormat="1" ht="60" customHeight="1" outlineLevel="1" x14ac:dyDescent="0.35">
      <c r="B28" s="100">
        <v>5</v>
      </c>
      <c r="C28" s="101" t="s">
        <v>27</v>
      </c>
      <c r="D28" s="102"/>
      <c r="E28" s="100" t="str">
        <f>IF(D28="Sim","Relevante","Não Relevante")</f>
        <v>Não Relevante</v>
      </c>
      <c r="F28" s="100"/>
      <c r="G28" s="100" t="str">
        <f>IF(F28="Sim","Relevante","Não Relevante")</f>
        <v>Não Relevante</v>
      </c>
      <c r="H28" s="112"/>
      <c r="I28" s="113"/>
      <c r="J28" s="113"/>
      <c r="K28" s="114"/>
    </row>
    <row r="29" spans="2:11" ht="15" customHeight="1" x14ac:dyDescent="0.35">
      <c r="B29" s="9"/>
      <c r="C29" s="10"/>
      <c r="D29" s="11"/>
      <c r="E29" s="11"/>
      <c r="F29" s="11"/>
      <c r="G29" s="11"/>
      <c r="H29" s="11"/>
      <c r="K29" s="12"/>
    </row>
    <row r="30" spans="2:11" ht="30" customHeight="1" x14ac:dyDescent="0.35">
      <c r="B30" s="121" t="s">
        <v>28</v>
      </c>
      <c r="C30" s="121"/>
      <c r="D30" s="121"/>
      <c r="E30" s="121"/>
      <c r="F30" s="121"/>
      <c r="G30" s="121"/>
      <c r="H30" s="121"/>
      <c r="I30" s="121"/>
      <c r="J30" s="121"/>
      <c r="K30" s="121"/>
    </row>
    <row r="31" spans="2:11" ht="22.5" customHeight="1" x14ac:dyDescent="0.35">
      <c r="B31" s="13" t="s">
        <v>29</v>
      </c>
      <c r="C31" s="14"/>
      <c r="D31" s="15"/>
      <c r="E31" s="15"/>
      <c r="F31" s="15"/>
      <c r="G31" s="15"/>
      <c r="H31" s="15"/>
      <c r="I31" s="15"/>
      <c r="J31" s="15"/>
      <c r="K31" s="15"/>
    </row>
    <row r="32" spans="2:11" ht="48" customHeight="1" outlineLevel="2" x14ac:dyDescent="0.35"/>
    <row r="33" spans="2:11" customFormat="1" ht="30" customHeight="1" x14ac:dyDescent="0.35">
      <c r="B33" s="94" t="s">
        <v>30</v>
      </c>
      <c r="C33" s="81"/>
      <c r="D33" s="81"/>
      <c r="E33" s="82">
        <f>SUM(E35:E44)</f>
        <v>1</v>
      </c>
      <c r="F33" s="82"/>
      <c r="G33" s="83" t="s">
        <v>31</v>
      </c>
      <c r="H33" s="84">
        <f>SUM(E33,I33)/2</f>
        <v>0.5</v>
      </c>
      <c r="I33" s="84">
        <f>SUM(G35:G44)</f>
        <v>0</v>
      </c>
      <c r="J33" s="84"/>
      <c r="K33" s="84"/>
    </row>
    <row r="34" spans="2:11" customFormat="1" ht="30" customHeight="1" outlineLevel="2" x14ac:dyDescent="0.35">
      <c r="B34" s="93" t="s">
        <v>10</v>
      </c>
      <c r="C34" s="43" t="s">
        <v>11</v>
      </c>
      <c r="D34" s="43" t="s">
        <v>32</v>
      </c>
      <c r="E34" s="43" t="s">
        <v>20</v>
      </c>
      <c r="F34" s="56" t="s">
        <v>33</v>
      </c>
      <c r="G34" s="43" t="s">
        <v>21</v>
      </c>
      <c r="H34" s="43" t="s">
        <v>22</v>
      </c>
      <c r="I34" s="43" t="s">
        <v>34</v>
      </c>
      <c r="J34" s="43" t="s">
        <v>35</v>
      </c>
      <c r="K34" s="43" t="s">
        <v>36</v>
      </c>
    </row>
    <row r="35" spans="2:11" ht="80.5" customHeight="1" outlineLevel="2" x14ac:dyDescent="0.35">
      <c r="B35" s="57" t="s">
        <v>37</v>
      </c>
      <c r="C35" s="92" t="s">
        <v>38</v>
      </c>
      <c r="D35" s="75" t="s">
        <v>187</v>
      </c>
      <c r="E35" s="57">
        <f>IF($D35="Sim",1,IF($D35="Não",0,IF($D35="N/A","-")))</f>
        <v>1</v>
      </c>
      <c r="F35" s="57"/>
      <c r="G35" s="57" t="b">
        <f>IF($F35="Não atende",0,IF($F35="Atende parcialmente",1,IF($F35="Atende",2,IF($F35="N/A","-"))))</f>
        <v>0</v>
      </c>
      <c r="H35" s="76"/>
      <c r="I35" s="80"/>
      <c r="J35" s="58"/>
      <c r="K35" s="58"/>
    </row>
    <row r="36" spans="2:11" ht="60" customHeight="1" outlineLevel="2" x14ac:dyDescent="0.35">
      <c r="B36" s="57" t="s">
        <v>39</v>
      </c>
      <c r="C36" s="99" t="s">
        <v>40</v>
      </c>
      <c r="D36" s="75"/>
      <c r="E36" s="57" t="b">
        <f t="shared" ref="E36:E42" si="0">IF($D36="Sim",1,IF($D36="Não",0,IF($D36="N/A","-")))</f>
        <v>0</v>
      </c>
      <c r="F36" s="57"/>
      <c r="G36" s="57" t="b">
        <f t="shared" ref="G36:G42" si="1">IF($F36="Não atende",0,IF($F36="Atende parcialmente",1,IF($F36="Atende",2,IF($F36="N/A","-"))))</f>
        <v>0</v>
      </c>
      <c r="H36" s="76"/>
      <c r="I36" s="79"/>
      <c r="J36" s="58"/>
      <c r="K36" s="58"/>
    </row>
    <row r="37" spans="2:11" ht="60" customHeight="1" outlineLevel="2" x14ac:dyDescent="0.35">
      <c r="B37" s="57" t="s">
        <v>41</v>
      </c>
      <c r="C37" s="92" t="s">
        <v>42</v>
      </c>
      <c r="D37" s="75"/>
      <c r="E37" s="57" t="b">
        <f t="shared" si="0"/>
        <v>0</v>
      </c>
      <c r="F37" s="57"/>
      <c r="G37" s="57" t="b">
        <f t="shared" si="1"/>
        <v>0</v>
      </c>
      <c r="H37" s="76"/>
      <c r="I37" s="79"/>
      <c r="J37" s="58"/>
      <c r="K37" s="58"/>
    </row>
    <row r="38" spans="2:11" ht="60" customHeight="1" outlineLevel="2" x14ac:dyDescent="0.35">
      <c r="B38" s="57" t="s">
        <v>43</v>
      </c>
      <c r="C38" s="92" t="s">
        <v>44</v>
      </c>
      <c r="D38" s="75" t="s">
        <v>259</v>
      </c>
      <c r="E38" s="57" t="b">
        <f t="shared" si="0"/>
        <v>0</v>
      </c>
      <c r="F38" s="57"/>
      <c r="G38" s="57" t="b">
        <f t="shared" si="1"/>
        <v>0</v>
      </c>
      <c r="H38" s="76"/>
      <c r="I38" s="79"/>
      <c r="J38" s="58"/>
      <c r="K38" s="58"/>
    </row>
    <row r="39" spans="2:11" ht="60" customHeight="1" outlineLevel="2" x14ac:dyDescent="0.35">
      <c r="B39" s="57" t="s">
        <v>45</v>
      </c>
      <c r="C39" s="92" t="s">
        <v>46</v>
      </c>
      <c r="D39" s="75"/>
      <c r="E39" s="57" t="b">
        <f>IF($D39="Sim",1,IF($D39="Não",0,IF($D39="N/A","-")))</f>
        <v>0</v>
      </c>
      <c r="F39" s="57"/>
      <c r="G39" s="57" t="b">
        <f t="shared" si="1"/>
        <v>0</v>
      </c>
      <c r="H39" s="76"/>
      <c r="I39" s="79"/>
      <c r="J39" s="58"/>
      <c r="K39" s="58"/>
    </row>
    <row r="40" spans="2:11" ht="60" customHeight="1" outlineLevel="2" x14ac:dyDescent="0.35">
      <c r="B40" s="57" t="s">
        <v>47</v>
      </c>
      <c r="C40" s="92" t="s">
        <v>48</v>
      </c>
      <c r="D40" s="75"/>
      <c r="E40" s="57" t="b">
        <f t="shared" si="0"/>
        <v>0</v>
      </c>
      <c r="F40" s="57"/>
      <c r="G40" s="57" t="b">
        <f t="shared" si="1"/>
        <v>0</v>
      </c>
      <c r="H40" s="76"/>
      <c r="I40" s="79"/>
      <c r="J40" s="58"/>
      <c r="K40" s="58"/>
    </row>
    <row r="41" spans="2:11" ht="60" customHeight="1" outlineLevel="2" x14ac:dyDescent="0.35">
      <c r="B41" s="57" t="s">
        <v>49</v>
      </c>
      <c r="C41" s="92" t="s">
        <v>50</v>
      </c>
      <c r="D41" s="75"/>
      <c r="E41" s="57" t="b">
        <f t="shared" si="0"/>
        <v>0</v>
      </c>
      <c r="F41" s="57"/>
      <c r="G41" s="57" t="b">
        <f t="shared" si="1"/>
        <v>0</v>
      </c>
      <c r="H41" s="76"/>
      <c r="I41" s="79"/>
      <c r="J41" s="58"/>
      <c r="K41" s="58"/>
    </row>
    <row r="42" spans="2:11" ht="60" customHeight="1" outlineLevel="2" x14ac:dyDescent="0.35">
      <c r="B42" s="57" t="s">
        <v>51</v>
      </c>
      <c r="C42" s="92" t="s">
        <v>52</v>
      </c>
      <c r="D42" s="75"/>
      <c r="E42" s="57" t="b">
        <f t="shared" si="0"/>
        <v>0</v>
      </c>
      <c r="F42" s="57"/>
      <c r="G42" s="57" t="b">
        <f t="shared" si="1"/>
        <v>0</v>
      </c>
      <c r="H42" s="76"/>
      <c r="I42" s="79"/>
      <c r="J42" s="58"/>
      <c r="K42" s="58"/>
    </row>
    <row r="43" spans="2:11" ht="60" customHeight="1" outlineLevel="2" x14ac:dyDescent="0.35">
      <c r="B43" s="57" t="s">
        <v>53</v>
      </c>
      <c r="C43" s="92" t="s">
        <v>54</v>
      </c>
      <c r="D43" s="75"/>
      <c r="E43" s="57" t="b">
        <f t="shared" ref="E43:E44" si="2">IF($D43="Sim",1,IF($D43="Não",0,IF($D43="N/A","-")))</f>
        <v>0</v>
      </c>
      <c r="F43" s="57"/>
      <c r="G43" s="57" t="b">
        <f t="shared" ref="G43:G44" si="3">IF($F43="Não atende",0,IF($F43="Atende parcialmente",1,IF($F43="Atende",2,IF($F43="N/A","-"))))</f>
        <v>0</v>
      </c>
      <c r="H43" s="76"/>
      <c r="I43" s="79"/>
      <c r="J43" s="58"/>
      <c r="K43" s="58"/>
    </row>
    <row r="44" spans="2:11" ht="60" customHeight="1" outlineLevel="2" x14ac:dyDescent="0.35">
      <c r="B44" s="57" t="s">
        <v>55</v>
      </c>
      <c r="C44" s="91" t="s">
        <v>56</v>
      </c>
      <c r="D44" s="75"/>
      <c r="E44" s="57" t="b">
        <f t="shared" si="2"/>
        <v>0</v>
      </c>
      <c r="F44" s="57"/>
      <c r="G44" s="57" t="b">
        <f t="shared" si="3"/>
        <v>0</v>
      </c>
      <c r="H44" s="76"/>
      <c r="I44" s="79"/>
      <c r="J44" s="58"/>
      <c r="K44" s="58"/>
    </row>
    <row r="45" spans="2:11" ht="48" customHeight="1" outlineLevel="2" x14ac:dyDescent="0.35">
      <c r="B45" s="17"/>
      <c r="C45" s="34"/>
      <c r="D45" s="17"/>
      <c r="E45" s="35"/>
      <c r="F45" s="17"/>
      <c r="G45" s="35"/>
      <c r="H45" s="16"/>
      <c r="I45" s="16"/>
      <c r="J45" s="16"/>
      <c r="K45" s="16"/>
    </row>
    <row r="46" spans="2:11" customFormat="1" ht="30" customHeight="1" x14ac:dyDescent="0.35">
      <c r="B46" s="95" t="s">
        <v>57</v>
      </c>
      <c r="C46" s="52"/>
      <c r="D46" s="52"/>
      <c r="E46" s="53">
        <f>SUM(E48:E58)</f>
        <v>0</v>
      </c>
      <c r="F46" s="53"/>
      <c r="G46" s="54" t="s">
        <v>31</v>
      </c>
      <c r="H46" s="55">
        <f>SUM(E46,I46)/2</f>
        <v>0</v>
      </c>
      <c r="I46" s="55">
        <f>SUM(G48:G58)</f>
        <v>0</v>
      </c>
      <c r="J46" s="55"/>
      <c r="K46" s="55"/>
    </row>
    <row r="47" spans="2:11" s="61" customFormat="1" ht="30" customHeight="1" outlineLevel="1" x14ac:dyDescent="0.35">
      <c r="B47" s="59" t="s">
        <v>10</v>
      </c>
      <c r="C47" s="59" t="s">
        <v>11</v>
      </c>
      <c r="D47" s="59" t="s">
        <v>32</v>
      </c>
      <c r="E47" s="59" t="s">
        <v>20</v>
      </c>
      <c r="F47" s="60" t="s">
        <v>33</v>
      </c>
      <c r="G47" s="59" t="s">
        <v>21</v>
      </c>
      <c r="H47" s="59" t="s">
        <v>22</v>
      </c>
      <c r="I47" s="59" t="s">
        <v>34</v>
      </c>
      <c r="J47" s="59" t="s">
        <v>35</v>
      </c>
      <c r="K47" s="59" t="s">
        <v>36</v>
      </c>
    </row>
    <row r="48" spans="2:11" s="6" customFormat="1" ht="60" customHeight="1" outlineLevel="1" x14ac:dyDescent="0.35">
      <c r="B48" s="49" t="s">
        <v>58</v>
      </c>
      <c r="C48" s="92" t="s">
        <v>59</v>
      </c>
      <c r="D48" s="74"/>
      <c r="E48" s="49" t="b">
        <f t="shared" ref="E48:E58" si="4">IF($D48="Sim",1,IF($D48="Não",0,IF($D48="N/A","-")))</f>
        <v>0</v>
      </c>
      <c r="F48" s="49"/>
      <c r="G48" s="49" t="b">
        <f t="shared" ref="G48:G58" si="5">IF($F48="Não atende",0,IF($F48="Atende parcialmente",1,IF($F48="Atende",2,IF($F48="N/A","-"))))</f>
        <v>0</v>
      </c>
      <c r="H48" s="77"/>
      <c r="I48" s="78"/>
      <c r="J48" s="62"/>
      <c r="K48" s="62"/>
    </row>
    <row r="49" spans="2:11" s="6" customFormat="1" ht="60" customHeight="1" outlineLevel="1" x14ac:dyDescent="0.35">
      <c r="B49" s="49" t="s">
        <v>60</v>
      </c>
      <c r="C49" s="92" t="s">
        <v>61</v>
      </c>
      <c r="D49" s="74"/>
      <c r="E49" s="49" t="b">
        <f t="shared" si="4"/>
        <v>0</v>
      </c>
      <c r="F49" s="49"/>
      <c r="G49" s="49" t="b">
        <f t="shared" si="5"/>
        <v>0</v>
      </c>
      <c r="H49" s="77"/>
      <c r="I49" s="78"/>
      <c r="J49" s="62"/>
      <c r="K49" s="62"/>
    </row>
    <row r="50" spans="2:11" s="6" customFormat="1" ht="60" customHeight="1" outlineLevel="1" x14ac:dyDescent="0.35">
      <c r="B50" s="49" t="s">
        <v>62</v>
      </c>
      <c r="C50" s="92" t="s">
        <v>63</v>
      </c>
      <c r="D50" s="74"/>
      <c r="E50" s="49" t="b">
        <f t="shared" si="4"/>
        <v>0</v>
      </c>
      <c r="F50" s="49"/>
      <c r="G50" s="49" t="b">
        <f t="shared" si="5"/>
        <v>0</v>
      </c>
      <c r="H50" s="77"/>
      <c r="I50" s="78"/>
      <c r="J50" s="62"/>
      <c r="K50" s="62"/>
    </row>
    <row r="51" spans="2:11" s="6" customFormat="1" ht="60" customHeight="1" outlineLevel="1" x14ac:dyDescent="0.35">
      <c r="B51" s="49" t="s">
        <v>64</v>
      </c>
      <c r="C51" s="92" t="s">
        <v>65</v>
      </c>
      <c r="D51" s="74"/>
      <c r="E51" s="49" t="b">
        <f t="shared" si="4"/>
        <v>0</v>
      </c>
      <c r="F51" s="49"/>
      <c r="G51" s="49" t="b">
        <f t="shared" si="5"/>
        <v>0</v>
      </c>
      <c r="H51" s="77"/>
      <c r="I51" s="78"/>
      <c r="J51" s="62"/>
      <c r="K51" s="62"/>
    </row>
    <row r="52" spans="2:11" s="6" customFormat="1" ht="60" customHeight="1" outlineLevel="1" x14ac:dyDescent="0.35">
      <c r="B52" s="49" t="s">
        <v>66</v>
      </c>
      <c r="C52" s="92" t="s">
        <v>67</v>
      </c>
      <c r="D52" s="74"/>
      <c r="E52" s="49" t="b">
        <f t="shared" si="4"/>
        <v>0</v>
      </c>
      <c r="F52" s="49"/>
      <c r="G52" s="49" t="b">
        <f t="shared" si="5"/>
        <v>0</v>
      </c>
      <c r="H52" s="77"/>
      <c r="I52" s="78"/>
      <c r="J52" s="62"/>
      <c r="K52" s="62"/>
    </row>
    <row r="53" spans="2:11" s="6" customFormat="1" ht="60" customHeight="1" outlineLevel="1" x14ac:dyDescent="0.35">
      <c r="B53" s="49" t="s">
        <v>68</v>
      </c>
      <c r="C53" s="92" t="s">
        <v>69</v>
      </c>
      <c r="D53" s="74"/>
      <c r="E53" s="49" t="b">
        <f t="shared" si="4"/>
        <v>0</v>
      </c>
      <c r="F53" s="49"/>
      <c r="G53" s="49" t="b">
        <f t="shared" si="5"/>
        <v>0</v>
      </c>
      <c r="H53" s="77"/>
      <c r="I53" s="78"/>
      <c r="J53" s="62"/>
      <c r="K53" s="62"/>
    </row>
    <row r="54" spans="2:11" s="6" customFormat="1" ht="60" customHeight="1" outlineLevel="1" x14ac:dyDescent="0.35">
      <c r="B54" s="49" t="s">
        <v>70</v>
      </c>
      <c r="C54" s="92" t="s">
        <v>71</v>
      </c>
      <c r="D54" s="74"/>
      <c r="E54" s="49" t="b">
        <f t="shared" si="4"/>
        <v>0</v>
      </c>
      <c r="F54" s="49"/>
      <c r="G54" s="49" t="b">
        <f t="shared" si="5"/>
        <v>0</v>
      </c>
      <c r="H54" s="77"/>
      <c r="I54" s="78"/>
      <c r="J54" s="62"/>
      <c r="K54" s="62"/>
    </row>
    <row r="55" spans="2:11" s="6" customFormat="1" ht="60" customHeight="1" outlineLevel="1" x14ac:dyDescent="0.35">
      <c r="B55" s="49" t="s">
        <v>72</v>
      </c>
      <c r="C55" s="92" t="s">
        <v>73</v>
      </c>
      <c r="D55" s="74"/>
      <c r="E55" s="49" t="b">
        <f t="shared" si="4"/>
        <v>0</v>
      </c>
      <c r="F55" s="49"/>
      <c r="G55" s="49" t="b">
        <f t="shared" si="5"/>
        <v>0</v>
      </c>
      <c r="H55" s="77"/>
      <c r="I55" s="78"/>
      <c r="J55" s="62"/>
      <c r="K55" s="62"/>
    </row>
    <row r="56" spans="2:11" s="6" customFormat="1" ht="60" customHeight="1" outlineLevel="1" x14ac:dyDescent="0.35">
      <c r="B56" s="49" t="s">
        <v>74</v>
      </c>
      <c r="C56" s="92" t="s">
        <v>75</v>
      </c>
      <c r="D56" s="74"/>
      <c r="E56" s="49" t="b">
        <f t="shared" si="4"/>
        <v>0</v>
      </c>
      <c r="F56" s="49"/>
      <c r="G56" s="49" t="b">
        <f t="shared" si="5"/>
        <v>0</v>
      </c>
      <c r="H56" s="77"/>
      <c r="I56" s="78"/>
      <c r="J56" s="62"/>
      <c r="K56" s="62"/>
    </row>
    <row r="57" spans="2:11" s="6" customFormat="1" ht="60" customHeight="1" outlineLevel="1" x14ac:dyDescent="0.35">
      <c r="B57" s="49" t="s">
        <v>76</v>
      </c>
      <c r="C57" s="92" t="s">
        <v>77</v>
      </c>
      <c r="D57" s="74"/>
      <c r="E57" s="49" t="b">
        <f t="shared" si="4"/>
        <v>0</v>
      </c>
      <c r="F57" s="49"/>
      <c r="G57" s="49" t="b">
        <f t="shared" si="5"/>
        <v>0</v>
      </c>
      <c r="H57" s="77"/>
      <c r="I57" s="78"/>
      <c r="J57" s="62"/>
      <c r="K57" s="62"/>
    </row>
    <row r="58" spans="2:11" s="6" customFormat="1" ht="60" customHeight="1" outlineLevel="1" x14ac:dyDescent="0.35">
      <c r="B58" s="49" t="s">
        <v>78</v>
      </c>
      <c r="C58" s="92" t="s">
        <v>79</v>
      </c>
      <c r="D58" s="74"/>
      <c r="E58" s="49" t="b">
        <f t="shared" si="4"/>
        <v>0</v>
      </c>
      <c r="F58" s="49"/>
      <c r="G58" s="49" t="b">
        <f t="shared" si="5"/>
        <v>0</v>
      </c>
      <c r="H58" s="77"/>
      <c r="I58" s="78"/>
      <c r="J58" s="62"/>
      <c r="K58" s="62"/>
    </row>
    <row r="59" spans="2:11" ht="48" customHeight="1" outlineLevel="2" x14ac:dyDescent="0.35">
      <c r="B59" s="17"/>
      <c r="C59" s="34"/>
      <c r="D59" s="17"/>
      <c r="E59" s="35"/>
      <c r="F59" s="17"/>
      <c r="G59" s="35"/>
      <c r="H59" s="16"/>
      <c r="I59" s="16"/>
      <c r="J59" s="16"/>
      <c r="K59" s="16"/>
    </row>
    <row r="60" spans="2:11" customFormat="1" ht="30" customHeight="1" x14ac:dyDescent="0.35">
      <c r="B60" s="95" t="s">
        <v>80</v>
      </c>
      <c r="C60" s="52"/>
      <c r="D60" s="52"/>
      <c r="E60" s="53">
        <f>SUM(E89:E97)</f>
        <v>0</v>
      </c>
      <c r="F60" s="53"/>
      <c r="G60" s="54" t="s">
        <v>31</v>
      </c>
      <c r="H60" s="55">
        <f>SUM(E60,I60)/2</f>
        <v>0</v>
      </c>
      <c r="I60" s="55">
        <f>SUM(G89:G97)</f>
        <v>0</v>
      </c>
      <c r="J60" s="55"/>
      <c r="K60" s="55"/>
    </row>
    <row r="61" spans="2:11" s="51" customFormat="1" ht="30" customHeight="1" outlineLevel="1" x14ac:dyDescent="0.35">
      <c r="B61" s="59" t="s">
        <v>10</v>
      </c>
      <c r="C61" s="59" t="s">
        <v>11</v>
      </c>
      <c r="D61" s="59" t="s">
        <v>32</v>
      </c>
      <c r="E61" s="59" t="s">
        <v>20</v>
      </c>
      <c r="F61" s="60" t="s">
        <v>33</v>
      </c>
      <c r="G61" s="59" t="s">
        <v>21</v>
      </c>
      <c r="H61" s="59" t="s">
        <v>22</v>
      </c>
      <c r="I61" s="59" t="s">
        <v>34</v>
      </c>
      <c r="J61" s="59" t="s">
        <v>35</v>
      </c>
      <c r="K61" s="59" t="s">
        <v>36</v>
      </c>
    </row>
    <row r="62" spans="2:11" s="6" customFormat="1" ht="60" customHeight="1" outlineLevel="1" x14ac:dyDescent="0.35">
      <c r="B62" s="49" t="s">
        <v>81</v>
      </c>
      <c r="C62" s="92" t="s">
        <v>82</v>
      </c>
      <c r="D62" s="74"/>
      <c r="E62" s="49" t="b">
        <f t="shared" ref="E62:E69" si="6">IF($D62="Sim",1,IF($D62="Não",0,IF($D62="N/A","-")))</f>
        <v>0</v>
      </c>
      <c r="F62" s="49"/>
      <c r="G62" s="49" t="b">
        <f>IF($F62="Não atende",0,IF($F62="Atende parcialmente",1,IF($F62="Atende",2,IF($F62="N/A","-"))))</f>
        <v>0</v>
      </c>
      <c r="H62" s="77"/>
      <c r="I62" s="78"/>
      <c r="J62" s="62"/>
      <c r="K62" s="62"/>
    </row>
    <row r="63" spans="2:11" s="6" customFormat="1" ht="60" customHeight="1" outlineLevel="1" x14ac:dyDescent="0.35">
      <c r="B63" s="49" t="s">
        <v>83</v>
      </c>
      <c r="C63" s="92" t="s">
        <v>84</v>
      </c>
      <c r="D63" s="74"/>
      <c r="E63" s="49" t="b">
        <f t="shared" si="6"/>
        <v>0</v>
      </c>
      <c r="F63" s="49"/>
      <c r="G63" s="49" t="b">
        <f t="shared" ref="G63:G69" si="7">IF($F63="Não atende",0,IF($F63="Atende parcialmente",1,IF($F63="Atende",2,IF($F63="N/A","-"))))</f>
        <v>0</v>
      </c>
      <c r="H63" s="77"/>
      <c r="I63" s="78"/>
      <c r="J63" s="62"/>
      <c r="K63" s="62"/>
    </row>
    <row r="64" spans="2:11" s="6" customFormat="1" ht="60" customHeight="1" outlineLevel="1" x14ac:dyDescent="0.35">
      <c r="B64" s="49" t="s">
        <v>85</v>
      </c>
      <c r="C64" s="99" t="s">
        <v>260</v>
      </c>
      <c r="D64" s="74"/>
      <c r="E64" s="49" t="b">
        <f t="shared" si="6"/>
        <v>0</v>
      </c>
      <c r="F64" s="49"/>
      <c r="G64" s="49" t="b">
        <f t="shared" si="7"/>
        <v>0</v>
      </c>
      <c r="H64" s="77"/>
      <c r="I64" s="78"/>
      <c r="J64" s="62"/>
      <c r="K64" s="62"/>
    </row>
    <row r="65" spans="2:11" s="6" customFormat="1" ht="60" customHeight="1" outlineLevel="1" x14ac:dyDescent="0.35">
      <c r="B65" s="49" t="s">
        <v>86</v>
      </c>
      <c r="C65" s="99" t="s">
        <v>261</v>
      </c>
      <c r="D65" s="74"/>
      <c r="E65" s="49" t="b">
        <f t="shared" si="6"/>
        <v>0</v>
      </c>
      <c r="F65" s="49"/>
      <c r="G65" s="49" t="b">
        <f t="shared" si="7"/>
        <v>0</v>
      </c>
      <c r="H65" s="77"/>
      <c r="I65" s="78"/>
      <c r="J65" s="62"/>
      <c r="K65" s="62"/>
    </row>
    <row r="66" spans="2:11" s="6" customFormat="1" ht="60" customHeight="1" outlineLevel="1" x14ac:dyDescent="0.35">
      <c r="B66" s="49" t="s">
        <v>87</v>
      </c>
      <c r="C66" s="92" t="s">
        <v>88</v>
      </c>
      <c r="D66" s="74"/>
      <c r="E66" s="49" t="b">
        <f t="shared" si="6"/>
        <v>0</v>
      </c>
      <c r="F66" s="49"/>
      <c r="G66" s="49" t="b">
        <f>IF($F66="Não atende",0,IF($F66="Atende parcialmente",1,IF($F66="Atende",2,IF($F66="N/A","-"))))</f>
        <v>0</v>
      </c>
      <c r="H66" s="77"/>
      <c r="I66" s="78"/>
      <c r="J66" s="62"/>
      <c r="K66" s="62"/>
    </row>
    <row r="67" spans="2:11" s="6" customFormat="1" ht="60" customHeight="1" outlineLevel="1" x14ac:dyDescent="0.35">
      <c r="B67" s="49" t="s">
        <v>89</v>
      </c>
      <c r="C67" s="99" t="s">
        <v>262</v>
      </c>
      <c r="D67" s="74"/>
      <c r="E67" s="49" t="b">
        <f t="shared" si="6"/>
        <v>0</v>
      </c>
      <c r="F67" s="49"/>
      <c r="G67" s="49" t="b">
        <f t="shared" si="7"/>
        <v>0</v>
      </c>
      <c r="H67" s="77"/>
      <c r="I67" s="78"/>
      <c r="J67" s="62"/>
      <c r="K67" s="62"/>
    </row>
    <row r="68" spans="2:11" s="6" customFormat="1" ht="60" customHeight="1" outlineLevel="1" x14ac:dyDescent="0.35">
      <c r="B68" s="49" t="s">
        <v>90</v>
      </c>
      <c r="C68" s="92" t="s">
        <v>91</v>
      </c>
      <c r="D68" s="74"/>
      <c r="E68" s="49" t="b">
        <f t="shared" si="6"/>
        <v>0</v>
      </c>
      <c r="F68" s="49"/>
      <c r="G68" s="49" t="b">
        <f t="shared" si="7"/>
        <v>0</v>
      </c>
      <c r="H68" s="77"/>
      <c r="I68" s="78"/>
      <c r="J68" s="62"/>
      <c r="K68" s="62"/>
    </row>
    <row r="69" spans="2:11" s="6" customFormat="1" ht="60" customHeight="1" outlineLevel="1" x14ac:dyDescent="0.35">
      <c r="B69" s="49" t="s">
        <v>92</v>
      </c>
      <c r="C69" s="92" t="s">
        <v>93</v>
      </c>
      <c r="D69" s="74"/>
      <c r="E69" s="49" t="b">
        <f t="shared" si="6"/>
        <v>0</v>
      </c>
      <c r="F69" s="49"/>
      <c r="G69" s="49" t="b">
        <f t="shared" si="7"/>
        <v>0</v>
      </c>
      <c r="H69" s="77"/>
      <c r="I69" s="78"/>
      <c r="J69" s="62"/>
      <c r="K69" s="62"/>
    </row>
    <row r="70" spans="2:11" s="6" customFormat="1" ht="60" customHeight="1" outlineLevel="1" x14ac:dyDescent="0.35">
      <c r="B70" s="49" t="s">
        <v>94</v>
      </c>
      <c r="C70" s="92" t="s">
        <v>95</v>
      </c>
      <c r="D70" s="74"/>
      <c r="E70" s="49" t="b">
        <f t="shared" ref="E70:E88" si="8">IF($D70="Sim",1,IF($D70="Não",0,IF($D70="N/A","-")))</f>
        <v>0</v>
      </c>
      <c r="F70" s="49"/>
      <c r="G70" s="49" t="b">
        <f t="shared" ref="G70:G88" si="9">IF($F70="Não atende",0,IF($F70="Atende parcialmente",1,IF($F70="Atende",2,IF($F70="N/A","-"))))</f>
        <v>0</v>
      </c>
      <c r="H70" s="77"/>
      <c r="I70" s="78"/>
      <c r="J70" s="62"/>
      <c r="K70" s="62"/>
    </row>
    <row r="71" spans="2:11" s="6" customFormat="1" ht="60" customHeight="1" outlineLevel="1" x14ac:dyDescent="0.35">
      <c r="B71" s="49" t="s">
        <v>96</v>
      </c>
      <c r="C71" s="92" t="s">
        <v>97</v>
      </c>
      <c r="D71" s="74"/>
      <c r="E71" s="49" t="b">
        <f t="shared" si="8"/>
        <v>0</v>
      </c>
      <c r="F71" s="49"/>
      <c r="G71" s="49" t="b">
        <f t="shared" si="9"/>
        <v>0</v>
      </c>
      <c r="H71" s="77"/>
      <c r="I71" s="78"/>
      <c r="J71" s="62"/>
      <c r="K71" s="62"/>
    </row>
    <row r="72" spans="2:11" s="6" customFormat="1" ht="60" customHeight="1" outlineLevel="1" x14ac:dyDescent="0.35">
      <c r="B72" s="49" t="s">
        <v>98</v>
      </c>
      <c r="C72" s="92" t="s">
        <v>99</v>
      </c>
      <c r="D72" s="74"/>
      <c r="E72" s="49" t="b">
        <f t="shared" si="8"/>
        <v>0</v>
      </c>
      <c r="F72" s="49"/>
      <c r="G72" s="49" t="b">
        <f t="shared" si="9"/>
        <v>0</v>
      </c>
      <c r="H72" s="77"/>
      <c r="I72" s="78"/>
      <c r="J72" s="62"/>
      <c r="K72" s="62"/>
    </row>
    <row r="73" spans="2:11" s="6" customFormat="1" ht="60" customHeight="1" outlineLevel="1" x14ac:dyDescent="0.35">
      <c r="B73" s="49" t="s">
        <v>100</v>
      </c>
      <c r="C73" s="92" t="s">
        <v>101</v>
      </c>
      <c r="D73" s="74"/>
      <c r="E73" s="49" t="b">
        <f t="shared" si="8"/>
        <v>0</v>
      </c>
      <c r="F73" s="49"/>
      <c r="G73" s="49" t="b">
        <f t="shared" si="9"/>
        <v>0</v>
      </c>
      <c r="H73" s="77"/>
      <c r="I73" s="78"/>
      <c r="J73" s="62"/>
      <c r="K73" s="62"/>
    </row>
    <row r="74" spans="2:11" s="6" customFormat="1" ht="60" customHeight="1" outlineLevel="1" x14ac:dyDescent="0.35">
      <c r="B74" s="49" t="s">
        <v>102</v>
      </c>
      <c r="C74" s="92" t="s">
        <v>103</v>
      </c>
      <c r="D74" s="74"/>
      <c r="E74" s="49" t="b">
        <f t="shared" si="8"/>
        <v>0</v>
      </c>
      <c r="F74" s="49"/>
      <c r="G74" s="49" t="b">
        <f>IF($F74="Não atende",0,IF($F74="Atende parcialmente",1,IF($F74="Atende",2,IF($F74="N/A","-"))))</f>
        <v>0</v>
      </c>
      <c r="H74" s="77"/>
      <c r="I74" s="78"/>
      <c r="J74" s="62"/>
      <c r="K74" s="62"/>
    </row>
    <row r="75" spans="2:11" s="6" customFormat="1" ht="60" customHeight="1" outlineLevel="1" x14ac:dyDescent="0.35">
      <c r="B75" s="49" t="s">
        <v>104</v>
      </c>
      <c r="C75" s="92" t="s">
        <v>105</v>
      </c>
      <c r="D75" s="74"/>
      <c r="E75" s="49" t="b">
        <f t="shared" si="8"/>
        <v>0</v>
      </c>
      <c r="F75" s="49"/>
      <c r="G75" s="49" t="b">
        <f t="shared" si="9"/>
        <v>0</v>
      </c>
      <c r="H75" s="77"/>
      <c r="I75" s="78"/>
      <c r="J75" s="62"/>
      <c r="K75" s="62"/>
    </row>
    <row r="76" spans="2:11" s="6" customFormat="1" ht="60" customHeight="1" outlineLevel="1" x14ac:dyDescent="0.35">
      <c r="B76" s="49" t="s">
        <v>106</v>
      </c>
      <c r="C76" s="92" t="s">
        <v>107</v>
      </c>
      <c r="D76" s="74"/>
      <c r="E76" s="49" t="b">
        <f t="shared" si="8"/>
        <v>0</v>
      </c>
      <c r="F76" s="49"/>
      <c r="G76" s="49" t="b">
        <f t="shared" si="9"/>
        <v>0</v>
      </c>
      <c r="H76" s="77"/>
      <c r="I76" s="78"/>
      <c r="J76" s="62"/>
      <c r="K76" s="62"/>
    </row>
    <row r="77" spans="2:11" s="6" customFormat="1" ht="60" customHeight="1" outlineLevel="1" x14ac:dyDescent="0.35">
      <c r="B77" s="49" t="s">
        <v>108</v>
      </c>
      <c r="C77" s="92" t="s">
        <v>109</v>
      </c>
      <c r="D77" s="74"/>
      <c r="E77" s="49" t="b">
        <f t="shared" si="8"/>
        <v>0</v>
      </c>
      <c r="F77" s="49"/>
      <c r="G77" s="49" t="b">
        <f t="shared" si="9"/>
        <v>0</v>
      </c>
      <c r="H77" s="77"/>
      <c r="I77" s="78"/>
      <c r="J77" s="62"/>
      <c r="K77" s="62"/>
    </row>
    <row r="78" spans="2:11" s="6" customFormat="1" ht="60" customHeight="1" outlineLevel="1" x14ac:dyDescent="0.35">
      <c r="B78" s="49" t="s">
        <v>110</v>
      </c>
      <c r="C78" s="92" t="s">
        <v>111</v>
      </c>
      <c r="D78" s="74"/>
      <c r="E78" s="49" t="b">
        <f t="shared" si="8"/>
        <v>0</v>
      </c>
      <c r="F78" s="49"/>
      <c r="G78" s="49" t="b">
        <f t="shared" si="9"/>
        <v>0</v>
      </c>
      <c r="H78" s="77"/>
      <c r="I78" s="78"/>
      <c r="J78" s="62"/>
      <c r="K78" s="62"/>
    </row>
    <row r="79" spans="2:11" s="6" customFormat="1" ht="60" customHeight="1" outlineLevel="1" x14ac:dyDescent="0.35">
      <c r="B79" s="49" t="s">
        <v>112</v>
      </c>
      <c r="C79" s="92" t="s">
        <v>113</v>
      </c>
      <c r="D79" s="74"/>
      <c r="E79" s="49" t="b">
        <f t="shared" si="8"/>
        <v>0</v>
      </c>
      <c r="F79" s="49"/>
      <c r="G79" s="49" t="b">
        <f>IF($F79="Não atende",0,IF($F79="Atende parcialmente",1,IF($F79="Atende",2,IF($F79="N/A","-"))))</f>
        <v>0</v>
      </c>
      <c r="H79" s="77"/>
      <c r="I79" s="78"/>
      <c r="J79" s="62"/>
      <c r="K79" s="62"/>
    </row>
    <row r="80" spans="2:11" s="6" customFormat="1" ht="60" customHeight="1" outlineLevel="1" x14ac:dyDescent="0.35">
      <c r="B80" s="49" t="s">
        <v>114</v>
      </c>
      <c r="C80" s="92" t="s">
        <v>115</v>
      </c>
      <c r="D80" s="74"/>
      <c r="E80" s="49" t="b">
        <f t="shared" si="8"/>
        <v>0</v>
      </c>
      <c r="F80" s="49"/>
      <c r="G80" s="49" t="b">
        <f t="shared" ref="G80:G87" si="10">IF($F80="Não atende",0,IF($F80="Atende parcialmente",1,IF($F80="Atende",2,IF($F80="N/A","-"))))</f>
        <v>0</v>
      </c>
      <c r="H80" s="77"/>
      <c r="I80" s="78"/>
      <c r="J80" s="62"/>
      <c r="K80" s="62"/>
    </row>
    <row r="81" spans="2:11" s="6" customFormat="1" ht="60" customHeight="1" outlineLevel="1" x14ac:dyDescent="0.35">
      <c r="B81" s="49" t="s">
        <v>116</v>
      </c>
      <c r="C81" s="92" t="s">
        <v>117</v>
      </c>
      <c r="D81" s="74"/>
      <c r="E81" s="49" t="b">
        <f t="shared" si="8"/>
        <v>0</v>
      </c>
      <c r="F81" s="49"/>
      <c r="G81" s="49" t="b">
        <f t="shared" si="10"/>
        <v>0</v>
      </c>
      <c r="H81" s="77"/>
      <c r="I81" s="78"/>
      <c r="J81" s="62"/>
      <c r="K81" s="62"/>
    </row>
    <row r="82" spans="2:11" s="6" customFormat="1" ht="60" customHeight="1" outlineLevel="1" x14ac:dyDescent="0.35">
      <c r="B82" s="49" t="s">
        <v>118</v>
      </c>
      <c r="C82" s="99" t="s">
        <v>263</v>
      </c>
      <c r="D82" s="74"/>
      <c r="E82" s="49" t="b">
        <f t="shared" si="8"/>
        <v>0</v>
      </c>
      <c r="F82" s="49"/>
      <c r="G82" s="49" t="b">
        <f t="shared" si="10"/>
        <v>0</v>
      </c>
      <c r="H82" s="77"/>
      <c r="I82" s="78"/>
      <c r="J82" s="62"/>
      <c r="K82" s="62"/>
    </row>
    <row r="83" spans="2:11" s="6" customFormat="1" ht="60" customHeight="1" outlineLevel="1" x14ac:dyDescent="0.35">
      <c r="B83" s="49" t="s">
        <v>119</v>
      </c>
      <c r="C83" s="99" t="s">
        <v>264</v>
      </c>
      <c r="D83" s="74"/>
      <c r="E83" s="49" t="b">
        <f t="shared" si="8"/>
        <v>0</v>
      </c>
      <c r="F83" s="49"/>
      <c r="G83" s="49" t="b">
        <f t="shared" si="10"/>
        <v>0</v>
      </c>
      <c r="H83" s="77"/>
      <c r="I83" s="78"/>
      <c r="J83" s="62"/>
      <c r="K83" s="62"/>
    </row>
    <row r="84" spans="2:11" s="6" customFormat="1" ht="60" customHeight="1" outlineLevel="1" x14ac:dyDescent="0.35">
      <c r="B84" s="49" t="s">
        <v>120</v>
      </c>
      <c r="C84" s="99" t="s">
        <v>265</v>
      </c>
      <c r="D84" s="74"/>
      <c r="E84" s="49" t="b">
        <f t="shared" si="8"/>
        <v>0</v>
      </c>
      <c r="F84" s="49"/>
      <c r="G84" s="49" t="b">
        <f t="shared" si="10"/>
        <v>0</v>
      </c>
      <c r="H84" s="77"/>
      <c r="I84" s="78"/>
      <c r="J84" s="62"/>
      <c r="K84" s="62"/>
    </row>
    <row r="85" spans="2:11" s="6" customFormat="1" ht="60" customHeight="1" outlineLevel="1" x14ac:dyDescent="0.35">
      <c r="B85" s="49" t="s">
        <v>121</v>
      </c>
      <c r="C85" s="92" t="s">
        <v>258</v>
      </c>
      <c r="D85" s="74"/>
      <c r="E85" s="49" t="b">
        <f t="shared" si="8"/>
        <v>0</v>
      </c>
      <c r="F85" s="49"/>
      <c r="G85" s="49" t="b">
        <f t="shared" si="10"/>
        <v>0</v>
      </c>
      <c r="H85" s="77"/>
      <c r="I85" s="78"/>
      <c r="J85" s="62"/>
      <c r="K85" s="62"/>
    </row>
    <row r="86" spans="2:11" s="6" customFormat="1" ht="60" customHeight="1" outlineLevel="1" x14ac:dyDescent="0.35">
      <c r="B86" s="49" t="s">
        <v>122</v>
      </c>
      <c r="C86" s="92" t="s">
        <v>123</v>
      </c>
      <c r="D86" s="74"/>
      <c r="E86" s="49" t="b">
        <f t="shared" si="8"/>
        <v>0</v>
      </c>
      <c r="F86" s="49"/>
      <c r="G86" s="49" t="b">
        <f t="shared" si="10"/>
        <v>0</v>
      </c>
      <c r="H86" s="77"/>
      <c r="I86" s="78"/>
      <c r="J86" s="62"/>
      <c r="K86" s="62"/>
    </row>
    <row r="87" spans="2:11" s="6" customFormat="1" ht="60" customHeight="1" outlineLevel="1" x14ac:dyDescent="0.35">
      <c r="B87" s="49" t="s">
        <v>124</v>
      </c>
      <c r="C87" s="92" t="s">
        <v>125</v>
      </c>
      <c r="D87" s="74"/>
      <c r="E87" s="49" t="b">
        <f t="shared" si="8"/>
        <v>0</v>
      </c>
      <c r="F87" s="49"/>
      <c r="G87" s="49" t="b">
        <f t="shared" si="10"/>
        <v>0</v>
      </c>
      <c r="H87" s="77"/>
      <c r="I87" s="78"/>
      <c r="J87" s="62"/>
      <c r="K87" s="62"/>
    </row>
    <row r="88" spans="2:11" s="6" customFormat="1" ht="60" customHeight="1" outlineLevel="1" x14ac:dyDescent="0.35">
      <c r="B88" s="49" t="s">
        <v>126</v>
      </c>
      <c r="C88" s="92" t="s">
        <v>127</v>
      </c>
      <c r="D88" s="74"/>
      <c r="E88" s="49" t="b">
        <f t="shared" si="8"/>
        <v>0</v>
      </c>
      <c r="F88" s="49"/>
      <c r="G88" s="49" t="b">
        <f t="shared" si="9"/>
        <v>0</v>
      </c>
      <c r="H88" s="77"/>
      <c r="I88" s="78"/>
      <c r="J88" s="62"/>
      <c r="K88" s="62"/>
    </row>
    <row r="89" spans="2:11" s="6" customFormat="1" ht="60" customHeight="1" outlineLevel="1" x14ac:dyDescent="0.35">
      <c r="B89" s="49" t="s">
        <v>128</v>
      </c>
      <c r="C89" s="92" t="s">
        <v>129</v>
      </c>
      <c r="D89" s="74"/>
      <c r="E89" s="49" t="b">
        <f t="shared" ref="E89:E97" si="11">IF($D89="Sim",1,IF($D89="Não",0,IF($D89="N/A","-")))</f>
        <v>0</v>
      </c>
      <c r="F89" s="49"/>
      <c r="G89" s="49" t="b">
        <f>IF($F89="Não atende",0,IF($F89="Atende parcialmente",1,IF($F89="Atende",2,IF($F89="N/A","-"))))</f>
        <v>0</v>
      </c>
      <c r="H89" s="77"/>
      <c r="I89" s="78"/>
      <c r="J89" s="62"/>
      <c r="K89" s="62"/>
    </row>
    <row r="90" spans="2:11" s="6" customFormat="1" ht="60" customHeight="1" outlineLevel="1" x14ac:dyDescent="0.35">
      <c r="B90" s="49" t="s">
        <v>130</v>
      </c>
      <c r="C90" s="92" t="s">
        <v>131</v>
      </c>
      <c r="D90" s="74"/>
      <c r="E90" s="49" t="b">
        <f t="shared" si="11"/>
        <v>0</v>
      </c>
      <c r="F90" s="49"/>
      <c r="G90" s="49" t="b">
        <f t="shared" ref="G90:G97" si="12">IF($F90="Não atende",0,IF($F90="Atende parcialmente",1,IF($F90="Atende",2,IF($F90="N/A","-"))))</f>
        <v>0</v>
      </c>
      <c r="H90" s="77"/>
      <c r="I90" s="78"/>
      <c r="J90" s="62"/>
      <c r="K90" s="62"/>
    </row>
    <row r="91" spans="2:11" s="6" customFormat="1" ht="60" customHeight="1" outlineLevel="1" x14ac:dyDescent="0.35">
      <c r="B91" s="49" t="s">
        <v>132</v>
      </c>
      <c r="C91" s="92" t="s">
        <v>133</v>
      </c>
      <c r="D91" s="74"/>
      <c r="E91" s="49" t="b">
        <f t="shared" si="11"/>
        <v>0</v>
      </c>
      <c r="F91" s="49"/>
      <c r="G91" s="49" t="b">
        <f t="shared" si="12"/>
        <v>0</v>
      </c>
      <c r="H91" s="77"/>
      <c r="I91" s="78"/>
      <c r="J91" s="62"/>
      <c r="K91" s="62"/>
    </row>
    <row r="92" spans="2:11" s="6" customFormat="1" ht="60" customHeight="1" outlineLevel="1" x14ac:dyDescent="0.35">
      <c r="B92" s="49" t="s">
        <v>134</v>
      </c>
      <c r="C92" s="92" t="s">
        <v>135</v>
      </c>
      <c r="D92" s="74"/>
      <c r="E92" s="49" t="b">
        <f t="shared" si="11"/>
        <v>0</v>
      </c>
      <c r="F92" s="49"/>
      <c r="G92" s="49" t="b">
        <f t="shared" si="12"/>
        <v>0</v>
      </c>
      <c r="H92" s="77"/>
      <c r="I92" s="78"/>
      <c r="J92" s="62"/>
      <c r="K92" s="62"/>
    </row>
    <row r="93" spans="2:11" s="6" customFormat="1" ht="60" customHeight="1" outlineLevel="1" x14ac:dyDescent="0.35">
      <c r="B93" s="49" t="s">
        <v>136</v>
      </c>
      <c r="C93" s="92" t="s">
        <v>137</v>
      </c>
      <c r="D93" s="74"/>
      <c r="E93" s="49" t="b">
        <f t="shared" si="11"/>
        <v>0</v>
      </c>
      <c r="F93" s="49"/>
      <c r="G93" s="49" t="b">
        <f t="shared" si="12"/>
        <v>0</v>
      </c>
      <c r="H93" s="77"/>
      <c r="I93" s="78"/>
      <c r="J93" s="62"/>
      <c r="K93" s="62"/>
    </row>
    <row r="94" spans="2:11" s="6" customFormat="1" ht="60" customHeight="1" outlineLevel="1" x14ac:dyDescent="0.35">
      <c r="B94" s="49" t="s">
        <v>138</v>
      </c>
      <c r="C94" s="92" t="s">
        <v>139</v>
      </c>
      <c r="D94" s="74"/>
      <c r="E94" s="49" t="b">
        <f t="shared" si="11"/>
        <v>0</v>
      </c>
      <c r="F94" s="49"/>
      <c r="G94" s="49" t="b">
        <f t="shared" si="12"/>
        <v>0</v>
      </c>
      <c r="H94" s="77"/>
      <c r="I94" s="78"/>
      <c r="J94" s="62"/>
      <c r="K94" s="62"/>
    </row>
    <row r="95" spans="2:11" s="6" customFormat="1" ht="60" customHeight="1" outlineLevel="1" x14ac:dyDescent="0.35">
      <c r="B95" s="49" t="s">
        <v>140</v>
      </c>
      <c r="C95" s="92" t="s">
        <v>141</v>
      </c>
      <c r="D95" s="74"/>
      <c r="E95" s="49" t="b">
        <f t="shared" si="11"/>
        <v>0</v>
      </c>
      <c r="F95" s="49"/>
      <c r="G95" s="49" t="b">
        <f t="shared" si="12"/>
        <v>0</v>
      </c>
      <c r="H95" s="77"/>
      <c r="I95" s="78"/>
      <c r="J95" s="62"/>
      <c r="K95" s="62"/>
    </row>
    <row r="96" spans="2:11" s="6" customFormat="1" ht="60" customHeight="1" outlineLevel="1" x14ac:dyDescent="0.35">
      <c r="B96" s="49" t="s">
        <v>142</v>
      </c>
      <c r="C96" s="92" t="s">
        <v>143</v>
      </c>
      <c r="D96" s="74"/>
      <c r="E96" s="49" t="b">
        <f t="shared" si="11"/>
        <v>0</v>
      </c>
      <c r="F96" s="49"/>
      <c r="G96" s="49" t="b">
        <f t="shared" si="12"/>
        <v>0</v>
      </c>
      <c r="H96" s="77"/>
      <c r="I96" s="78"/>
      <c r="J96" s="62"/>
      <c r="K96" s="62"/>
    </row>
    <row r="97" spans="2:11" s="6" customFormat="1" ht="60" customHeight="1" outlineLevel="1" x14ac:dyDescent="0.35">
      <c r="B97" s="49" t="s">
        <v>144</v>
      </c>
      <c r="C97" s="92" t="s">
        <v>145</v>
      </c>
      <c r="D97" s="74"/>
      <c r="E97" s="49" t="b">
        <f t="shared" si="11"/>
        <v>0</v>
      </c>
      <c r="F97" s="49"/>
      <c r="G97" s="49" t="b">
        <f t="shared" si="12"/>
        <v>0</v>
      </c>
      <c r="H97" s="77"/>
      <c r="I97" s="78"/>
      <c r="J97" s="62"/>
      <c r="K97" s="62"/>
    </row>
    <row r="98" spans="2:11" ht="48" customHeight="1" outlineLevel="2" x14ac:dyDescent="0.35">
      <c r="B98" s="17"/>
      <c r="C98" s="34"/>
      <c r="D98" s="17"/>
      <c r="E98" s="35"/>
      <c r="F98" s="17"/>
      <c r="G98" s="35"/>
      <c r="H98" s="16"/>
      <c r="I98" s="16"/>
      <c r="J98" s="16"/>
      <c r="K98" s="16"/>
    </row>
    <row r="99" spans="2:11" customFormat="1" ht="30" customHeight="1" x14ac:dyDescent="0.35">
      <c r="B99" s="95" t="s">
        <v>146</v>
      </c>
      <c r="C99" s="52"/>
      <c r="D99" s="52"/>
      <c r="E99" s="53">
        <f>SUM(E101:E113)</f>
        <v>0</v>
      </c>
      <c r="F99" s="53"/>
      <c r="G99" s="54" t="s">
        <v>31</v>
      </c>
      <c r="H99" s="55">
        <f>SUM(E99,I99)/2</f>
        <v>0</v>
      </c>
      <c r="I99" s="55">
        <f>SUM(G101:G113)</f>
        <v>0</v>
      </c>
      <c r="J99" s="55"/>
      <c r="K99" s="55"/>
    </row>
    <row r="100" spans="2:11" s="63" customFormat="1" ht="30" customHeight="1" outlineLevel="1" x14ac:dyDescent="0.35">
      <c r="B100" s="59" t="s">
        <v>10</v>
      </c>
      <c r="C100" s="59" t="s">
        <v>11</v>
      </c>
      <c r="D100" s="59" t="s">
        <v>32</v>
      </c>
      <c r="E100" s="59" t="s">
        <v>20</v>
      </c>
      <c r="F100" s="60" t="s">
        <v>33</v>
      </c>
      <c r="G100" s="59" t="s">
        <v>21</v>
      </c>
      <c r="H100" s="59" t="s">
        <v>22</v>
      </c>
      <c r="I100" s="59" t="s">
        <v>34</v>
      </c>
      <c r="J100" s="59" t="s">
        <v>35</v>
      </c>
      <c r="K100" s="59" t="s">
        <v>36</v>
      </c>
    </row>
    <row r="101" spans="2:11" s="6" customFormat="1" ht="60" customHeight="1" outlineLevel="1" x14ac:dyDescent="0.35">
      <c r="B101" s="49" t="s">
        <v>147</v>
      </c>
      <c r="C101" s="92" t="s">
        <v>148</v>
      </c>
      <c r="D101" s="74"/>
      <c r="E101" s="49" t="b">
        <f t="shared" ref="E101:E113" si="13">IF($D101="Sim",1,IF($D101="Não",0,IF($D101="N/A","-")))</f>
        <v>0</v>
      </c>
      <c r="F101" s="49"/>
      <c r="G101" s="49" t="b">
        <f>IF($F101="Não atende",0,IF($F101="Atende parcialmente",1,IF($F101="Atende",2,IF($F101="N/A","-"))))</f>
        <v>0</v>
      </c>
      <c r="H101" s="77"/>
      <c r="I101" s="78"/>
      <c r="J101" s="62"/>
      <c r="K101" s="62"/>
    </row>
    <row r="102" spans="2:11" s="6" customFormat="1" ht="60" customHeight="1" outlineLevel="1" x14ac:dyDescent="0.35">
      <c r="B102" s="49" t="s">
        <v>149</v>
      </c>
      <c r="C102" s="92" t="s">
        <v>150</v>
      </c>
      <c r="D102" s="74"/>
      <c r="E102" s="49" t="b">
        <f t="shared" si="13"/>
        <v>0</v>
      </c>
      <c r="F102" s="49"/>
      <c r="G102" s="49" t="b">
        <f t="shared" ref="G102:G113" si="14">IF($F102="Não atende",0,IF($F102="Atende parcialmente",1,IF($F102="Atende",2,IF($F102="N/A","-"))))</f>
        <v>0</v>
      </c>
      <c r="H102" s="77"/>
      <c r="I102" s="78"/>
      <c r="J102" s="62"/>
      <c r="K102" s="62"/>
    </row>
    <row r="103" spans="2:11" s="6" customFormat="1" ht="60" customHeight="1" outlineLevel="1" x14ac:dyDescent="0.35">
      <c r="B103" s="49" t="s">
        <v>151</v>
      </c>
      <c r="C103" s="92" t="s">
        <v>152</v>
      </c>
      <c r="D103" s="74"/>
      <c r="E103" s="49" t="b">
        <f t="shared" si="13"/>
        <v>0</v>
      </c>
      <c r="F103" s="49"/>
      <c r="G103" s="49" t="b">
        <f t="shared" si="14"/>
        <v>0</v>
      </c>
      <c r="H103" s="77"/>
      <c r="I103" s="78"/>
      <c r="J103" s="62"/>
      <c r="K103" s="62"/>
    </row>
    <row r="104" spans="2:11" s="6" customFormat="1" ht="60" customHeight="1" outlineLevel="1" x14ac:dyDescent="0.35">
      <c r="B104" s="49" t="s">
        <v>153</v>
      </c>
      <c r="C104" s="92" t="s">
        <v>154</v>
      </c>
      <c r="D104" s="74"/>
      <c r="E104" s="49" t="b">
        <f t="shared" si="13"/>
        <v>0</v>
      </c>
      <c r="F104" s="49"/>
      <c r="G104" s="49" t="b">
        <f t="shared" si="14"/>
        <v>0</v>
      </c>
      <c r="H104" s="77"/>
      <c r="I104" s="78"/>
      <c r="J104" s="62"/>
      <c r="K104" s="62"/>
    </row>
    <row r="105" spans="2:11" s="6" customFormat="1" ht="60" customHeight="1" outlineLevel="1" x14ac:dyDescent="0.35">
      <c r="B105" s="49" t="s">
        <v>155</v>
      </c>
      <c r="C105" s="92" t="s">
        <v>156</v>
      </c>
      <c r="D105" s="74"/>
      <c r="E105" s="49" t="b">
        <f t="shared" si="13"/>
        <v>0</v>
      </c>
      <c r="F105" s="49"/>
      <c r="G105" s="49" t="b">
        <f t="shared" si="14"/>
        <v>0</v>
      </c>
      <c r="H105" s="77"/>
      <c r="I105" s="78"/>
      <c r="J105" s="62"/>
      <c r="K105" s="62"/>
    </row>
    <row r="106" spans="2:11" s="6" customFormat="1" ht="60" customHeight="1" outlineLevel="1" x14ac:dyDescent="0.35">
      <c r="B106" s="49" t="s">
        <v>157</v>
      </c>
      <c r="C106" s="92" t="s">
        <v>158</v>
      </c>
      <c r="D106" s="74"/>
      <c r="E106" s="49" t="b">
        <f t="shared" si="13"/>
        <v>0</v>
      </c>
      <c r="F106" s="49"/>
      <c r="G106" s="49" t="b">
        <f t="shared" si="14"/>
        <v>0</v>
      </c>
      <c r="H106" s="77"/>
      <c r="I106" s="78"/>
      <c r="J106" s="62"/>
      <c r="K106" s="62"/>
    </row>
    <row r="107" spans="2:11" s="6" customFormat="1" ht="60" customHeight="1" outlineLevel="1" x14ac:dyDescent="0.35">
      <c r="B107" s="49" t="s">
        <v>159</v>
      </c>
      <c r="C107" s="92" t="s">
        <v>160</v>
      </c>
      <c r="D107" s="74"/>
      <c r="E107" s="49" t="b">
        <f t="shared" si="13"/>
        <v>0</v>
      </c>
      <c r="F107" s="49"/>
      <c r="G107" s="49" t="b">
        <f t="shared" si="14"/>
        <v>0</v>
      </c>
      <c r="H107" s="77"/>
      <c r="I107" s="78"/>
      <c r="J107" s="62"/>
      <c r="K107" s="62"/>
    </row>
    <row r="108" spans="2:11" s="6" customFormat="1" ht="84" customHeight="1" outlineLevel="1" x14ac:dyDescent="0.35">
      <c r="B108" s="49" t="s">
        <v>161</v>
      </c>
      <c r="C108" s="92" t="s">
        <v>162</v>
      </c>
      <c r="D108" s="74"/>
      <c r="E108" s="49" t="b">
        <f t="shared" si="13"/>
        <v>0</v>
      </c>
      <c r="F108" s="49"/>
      <c r="G108" s="49" t="b">
        <f t="shared" si="14"/>
        <v>0</v>
      </c>
      <c r="H108" s="77"/>
      <c r="I108" s="78"/>
      <c r="J108" s="62"/>
      <c r="K108" s="62"/>
    </row>
    <row r="109" spans="2:11" s="6" customFormat="1" ht="77.150000000000006" customHeight="1" outlineLevel="1" x14ac:dyDescent="0.35">
      <c r="B109" s="49" t="s">
        <v>163</v>
      </c>
      <c r="C109" s="92" t="s">
        <v>164</v>
      </c>
      <c r="D109" s="74"/>
      <c r="E109" s="49" t="b">
        <f t="shared" si="13"/>
        <v>0</v>
      </c>
      <c r="F109" s="49"/>
      <c r="G109" s="49" t="b">
        <f t="shared" si="14"/>
        <v>0</v>
      </c>
      <c r="H109" s="77"/>
      <c r="I109" s="78"/>
      <c r="J109" s="62"/>
      <c r="K109" s="62"/>
    </row>
    <row r="110" spans="2:11" s="6" customFormat="1" ht="60" customHeight="1" outlineLevel="1" x14ac:dyDescent="0.35">
      <c r="B110" s="49" t="s">
        <v>165</v>
      </c>
      <c r="C110" s="92" t="s">
        <v>166</v>
      </c>
      <c r="D110" s="74"/>
      <c r="E110" s="49" t="b">
        <f t="shared" si="13"/>
        <v>0</v>
      </c>
      <c r="F110" s="49"/>
      <c r="G110" s="49" t="b">
        <f t="shared" si="14"/>
        <v>0</v>
      </c>
      <c r="H110" s="77"/>
      <c r="I110" s="78"/>
      <c r="J110" s="62"/>
      <c r="K110" s="62"/>
    </row>
    <row r="111" spans="2:11" s="6" customFormat="1" ht="60" customHeight="1" outlineLevel="1" x14ac:dyDescent="0.35">
      <c r="B111" s="49" t="s">
        <v>167</v>
      </c>
      <c r="C111" s="92" t="s">
        <v>168</v>
      </c>
      <c r="D111" s="74"/>
      <c r="E111" s="49" t="b">
        <f t="shared" si="13"/>
        <v>0</v>
      </c>
      <c r="F111" s="49"/>
      <c r="G111" s="49" t="b">
        <f t="shared" si="14"/>
        <v>0</v>
      </c>
      <c r="H111" s="77"/>
      <c r="I111" s="78"/>
      <c r="J111" s="62"/>
      <c r="K111" s="62"/>
    </row>
    <row r="112" spans="2:11" s="6" customFormat="1" ht="60" customHeight="1" outlineLevel="1" x14ac:dyDescent="0.35">
      <c r="B112" s="49" t="s">
        <v>169</v>
      </c>
      <c r="C112" s="92" t="s">
        <v>170</v>
      </c>
      <c r="D112" s="74"/>
      <c r="E112" s="49" t="b">
        <f t="shared" si="13"/>
        <v>0</v>
      </c>
      <c r="F112" s="49"/>
      <c r="G112" s="49" t="b">
        <f t="shared" si="14"/>
        <v>0</v>
      </c>
      <c r="H112" s="77"/>
      <c r="I112" s="78"/>
      <c r="J112" s="62"/>
      <c r="K112" s="62"/>
    </row>
    <row r="113" spans="2:11" s="6" customFormat="1" ht="60" customHeight="1" outlineLevel="1" x14ac:dyDescent="0.35">
      <c r="B113" s="49" t="s">
        <v>171</v>
      </c>
      <c r="C113" s="92" t="s">
        <v>172</v>
      </c>
      <c r="D113" s="74"/>
      <c r="E113" s="49" t="b">
        <f t="shared" si="13"/>
        <v>0</v>
      </c>
      <c r="F113" s="49"/>
      <c r="G113" s="49" t="b">
        <f t="shared" si="14"/>
        <v>0</v>
      </c>
      <c r="H113" s="77"/>
      <c r="I113" s="78"/>
      <c r="J113" s="62"/>
      <c r="K113" s="62"/>
    </row>
    <row r="114" spans="2:11" ht="48" customHeight="1" outlineLevel="2" x14ac:dyDescent="0.35">
      <c r="B114" s="17"/>
      <c r="C114" s="34"/>
      <c r="D114" s="17"/>
      <c r="E114" s="35"/>
      <c r="F114" s="17"/>
      <c r="G114" s="35"/>
      <c r="H114" s="16"/>
      <c r="I114" s="16"/>
      <c r="J114" s="16"/>
      <c r="K114" s="16"/>
    </row>
    <row r="115" spans="2:11" customFormat="1" ht="30" customHeight="1" x14ac:dyDescent="0.35">
      <c r="B115" s="95" t="s">
        <v>173</v>
      </c>
      <c r="C115" s="52"/>
      <c r="D115" s="52"/>
      <c r="E115" s="53">
        <f>SUM(E117:E121)</f>
        <v>0</v>
      </c>
      <c r="F115" s="53"/>
      <c r="G115" s="54" t="s">
        <v>31</v>
      </c>
      <c r="H115" s="55">
        <f>SUM(E115,I115)/2</f>
        <v>0</v>
      </c>
      <c r="I115" s="55">
        <f>SUM(G117:G121)</f>
        <v>0</v>
      </c>
      <c r="J115" s="55">
        <f>SUM(E115,I115)/2</f>
        <v>0</v>
      </c>
      <c r="K115" s="55"/>
    </row>
    <row r="116" spans="2:11" s="63" customFormat="1" ht="30" customHeight="1" outlineLevel="1" x14ac:dyDescent="0.35">
      <c r="B116" s="59" t="s">
        <v>10</v>
      </c>
      <c r="C116" s="59" t="s">
        <v>11</v>
      </c>
      <c r="D116" s="59" t="s">
        <v>32</v>
      </c>
      <c r="E116" s="59" t="s">
        <v>20</v>
      </c>
      <c r="F116" s="60" t="s">
        <v>33</v>
      </c>
      <c r="G116" s="59" t="s">
        <v>21</v>
      </c>
      <c r="H116" s="59" t="s">
        <v>22</v>
      </c>
      <c r="I116" s="59" t="s">
        <v>34</v>
      </c>
      <c r="J116" s="59" t="s">
        <v>35</v>
      </c>
      <c r="K116" s="59" t="s">
        <v>36</v>
      </c>
    </row>
    <row r="117" spans="2:11" s="6" customFormat="1" ht="60" customHeight="1" outlineLevel="1" x14ac:dyDescent="0.35">
      <c r="B117" s="49" t="s">
        <v>174</v>
      </c>
      <c r="C117" s="92" t="s">
        <v>175</v>
      </c>
      <c r="D117" s="74"/>
      <c r="E117" s="49" t="b">
        <f>IF($D117="Sim",1,IF($D117="Não",0,IF($D117="N/A","-")))</f>
        <v>0</v>
      </c>
      <c r="F117" s="49"/>
      <c r="G117" s="49" t="b">
        <f>IF($F117="Não atende",0,IF($F117="Atende parcialmente",1,IF($F117="Atende",2,IF($F117="N/A","-"))))</f>
        <v>0</v>
      </c>
      <c r="H117" s="77"/>
      <c r="I117" s="78"/>
      <c r="J117" s="62"/>
      <c r="K117" s="62"/>
    </row>
    <row r="118" spans="2:11" s="6" customFormat="1" ht="60" customHeight="1" outlineLevel="1" x14ac:dyDescent="0.35">
      <c r="B118" s="49" t="s">
        <v>176</v>
      </c>
      <c r="C118" s="92" t="s">
        <v>177</v>
      </c>
      <c r="D118" s="74"/>
      <c r="E118" s="49" t="b">
        <f>IF($D118="Sim",1,IF($D118="Não",0,IF($D118="N/A","-")))</f>
        <v>0</v>
      </c>
      <c r="F118" s="49"/>
      <c r="G118" s="49" t="b">
        <f>IF($F118="Não atende",0,IF($F118="Atende parcialmente",1,IF($F118="Atende",2,IF($F118="N/A","-"))))</f>
        <v>0</v>
      </c>
      <c r="H118" s="77"/>
      <c r="I118" s="78"/>
      <c r="J118" s="62"/>
      <c r="K118" s="62"/>
    </row>
    <row r="119" spans="2:11" s="6" customFormat="1" ht="60" customHeight="1" outlineLevel="1" x14ac:dyDescent="0.35">
      <c r="B119" s="49" t="s">
        <v>178</v>
      </c>
      <c r="C119" s="92" t="s">
        <v>179</v>
      </c>
      <c r="D119" s="74"/>
      <c r="E119" s="49" t="b">
        <f>IF($D119="Sim",1,IF($D119="Não",0,IF($D119="N/A","-")))</f>
        <v>0</v>
      </c>
      <c r="F119" s="49"/>
      <c r="G119" s="49" t="b">
        <f>IF($F119="Não atende",0,IF($F119="Atende parcialmente",1,IF($F119="Atende",2,IF($F119="N/A","-"))))</f>
        <v>0</v>
      </c>
      <c r="H119" s="77"/>
      <c r="I119" s="78"/>
      <c r="J119" s="62"/>
      <c r="K119" s="62"/>
    </row>
    <row r="120" spans="2:11" s="6" customFormat="1" ht="60" customHeight="1" outlineLevel="1" x14ac:dyDescent="0.35">
      <c r="B120" s="49" t="s">
        <v>180</v>
      </c>
      <c r="C120" s="96" t="s">
        <v>181</v>
      </c>
      <c r="D120" s="74"/>
      <c r="E120" s="49" t="b">
        <f>IF($D120="Sim",1,IF($D120="Não",0,IF($D120="N/A","-")))</f>
        <v>0</v>
      </c>
      <c r="F120" s="49"/>
      <c r="G120" s="49" t="b">
        <f>IF($F120="Não atende",0,IF($F120="Atende parcialmente",1,IF($F120="Atende",2,IF($F120="N/A","-"))))</f>
        <v>0</v>
      </c>
      <c r="H120" s="77"/>
      <c r="I120" s="78"/>
      <c r="J120" s="62"/>
      <c r="K120" s="62"/>
    </row>
    <row r="121" spans="2:11" s="6" customFormat="1" ht="60" customHeight="1" outlineLevel="1" x14ac:dyDescent="0.35">
      <c r="B121" s="49" t="s">
        <v>178</v>
      </c>
      <c r="C121" s="92" t="s">
        <v>182</v>
      </c>
      <c r="D121" s="74"/>
      <c r="E121" s="49" t="b">
        <f>IF($D121="Sim",1,IF($D121="Não",0,IF($D121="N/A","-")))</f>
        <v>0</v>
      </c>
      <c r="F121" s="49"/>
      <c r="G121" s="49" t="b">
        <f>IF($F121="Não atende",0,IF($F121="Atende parcialmente",1,IF($F121="Atende",2,IF($F121="N/A","-"))))</f>
        <v>0</v>
      </c>
      <c r="H121" s="77"/>
      <c r="I121" s="78"/>
      <c r="J121" s="62"/>
      <c r="K121" s="62"/>
    </row>
    <row r="122" spans="2:11" ht="48" customHeight="1" outlineLevel="2" x14ac:dyDescent="0.35"/>
    <row r="123" spans="2:11" x14ac:dyDescent="0.35"/>
    <row r="124" spans="2:11" x14ac:dyDescent="0.35"/>
    <row r="125" spans="2:11" x14ac:dyDescent="0.35"/>
    <row r="126" spans="2:11" x14ac:dyDescent="0.35"/>
    <row r="127" spans="2:11" x14ac:dyDescent="0.35"/>
  </sheetData>
  <sheetProtection selectLockedCells="1"/>
  <dataConsolidate topLabels="1" link="1"/>
  <mergeCells count="31">
    <mergeCell ref="C3:K3"/>
    <mergeCell ref="I7:K7"/>
    <mergeCell ref="I8:K8"/>
    <mergeCell ref="D7:H7"/>
    <mergeCell ref="D8:H8"/>
    <mergeCell ref="I9:K9"/>
    <mergeCell ref="I10:K10"/>
    <mergeCell ref="I11:K11"/>
    <mergeCell ref="I12:K12"/>
    <mergeCell ref="D10:H10"/>
    <mergeCell ref="D11:H11"/>
    <mergeCell ref="D12:H12"/>
    <mergeCell ref="D9:H9"/>
    <mergeCell ref="B30:K30"/>
    <mergeCell ref="B20:K20"/>
    <mergeCell ref="F21:G21"/>
    <mergeCell ref="D22:E22"/>
    <mergeCell ref="F22:G22"/>
    <mergeCell ref="H27:K27"/>
    <mergeCell ref="H28:K28"/>
    <mergeCell ref="H26:K26"/>
    <mergeCell ref="D17:H17"/>
    <mergeCell ref="B14:C14"/>
    <mergeCell ref="H23:K23"/>
    <mergeCell ref="H24:K24"/>
    <mergeCell ref="H25:K25"/>
    <mergeCell ref="D15:H15"/>
    <mergeCell ref="I16:K16"/>
    <mergeCell ref="D16:H16"/>
    <mergeCell ref="D18:H18"/>
    <mergeCell ref="I18:K18"/>
  </mergeCells>
  <phoneticPr fontId="8" type="noConversion"/>
  <conditionalFormatting sqref="D22:G22">
    <cfRule type="cellIs" dxfId="11" priority="1" operator="equal">
      <formula>"Relevante"</formula>
    </cfRule>
  </conditionalFormatting>
  <dataValidations count="6">
    <dataValidation type="whole" allowBlank="1" showInputMessage="1" showErrorMessage="1" sqref="J15 J7:J13 J31:J33 J19" xr:uid="{00000000-0002-0000-0000-000000000000}">
      <formula1>0</formula1>
      <formula2>3</formula2>
    </dataValidation>
    <dataValidation type="list" allowBlank="1" showInputMessage="1" showErrorMessage="1" sqref="F98 F114 F59 D114 D98" xr:uid="{00000000-0002-0000-0000-000001000000}">
      <formula1>$K$9:$K$10</formula1>
    </dataValidation>
    <dataValidation type="list" allowBlank="1" showInputMessage="1" showErrorMessage="1" sqref="F122 D59 D122 F24:F28" xr:uid="{00000000-0002-0000-0000-000002000000}">
      <formula1>"Sim,Não,N/A"</formula1>
    </dataValidation>
    <dataValidation type="list" allowBlank="1" showInputMessage="1" showErrorMessage="1" sqref="F35:F44 F101:F113 F117:F121 F48:F58 F62:F97" xr:uid="{00000000-0002-0000-0000-000003000000}">
      <formula1>"Atende,Atende parcialmente,Não atende,N/A"</formula1>
    </dataValidation>
    <dataValidation type="list" allowBlank="1" showErrorMessage="1" sqref="D24:D28 D39:D44 D101:D113 D35:D37 D117:D121 D48:D58 D62:D97" xr:uid="{10C130EE-99B5-41CF-BBE9-38D7C756A929}">
      <formula1>"Sim,Não,N/A"</formula1>
    </dataValidation>
    <dataValidation type="list" allowBlank="1" showErrorMessage="1" sqref="D38" xr:uid="{8351736D-2E04-415F-9E23-2C62954CA967}">
      <formula1>"1 - Enviará dados para o BS2,2 - Receberá dados do BS2,3 - Enviará e receberá dados do BS2,4 - Não enviará nem receberá dados do BS2"</formula1>
    </dataValidation>
  </dataValidations>
  <pageMargins left="0.7" right="0.7" top="0.75" bottom="0.75" header="0.3" footer="0.3"/>
  <pageSetup paperSize="9" orientation="portrait" r:id="rId1"/>
  <headerFooter>
    <oddFooter>&amp;L_x000D_&amp;1#&amp;"Calibri"&amp;8&amp;KA80000 Este documento é: Confidencial. A informação contida neste documento deve receber os mais altos níveis adequados de proteção contra acesso não autorizado..</oddFooter>
  </headerFooter>
  <ignoredErrors>
    <ignoredError sqref="E115 I115:J115 E99 I99 E60 I60 E46 I46 E33 I33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632C2-F55A-45D0-AC68-AE02F48BC1B2}">
  <dimension ref="B2:I25"/>
  <sheetViews>
    <sheetView workbookViewId="0">
      <selection activeCell="G2" sqref="G2"/>
    </sheetView>
  </sheetViews>
  <sheetFormatPr defaultRowHeight="14.5" x14ac:dyDescent="0.35"/>
  <cols>
    <col min="2" max="2" width="16.1796875" bestFit="1" customWidth="1"/>
    <col min="3" max="3" width="10.453125" bestFit="1" customWidth="1"/>
    <col min="5" max="5" width="10.81640625" bestFit="1" customWidth="1"/>
    <col min="7" max="7" width="20.1796875" bestFit="1" customWidth="1"/>
    <col min="9" max="9" width="59.81640625" bestFit="1" customWidth="1"/>
  </cols>
  <sheetData>
    <row r="2" spans="2:9" x14ac:dyDescent="0.35">
      <c r="B2" t="s">
        <v>183</v>
      </c>
      <c r="C2" t="s">
        <v>184</v>
      </c>
      <c r="E2" t="s">
        <v>183</v>
      </c>
      <c r="G2" t="s">
        <v>183</v>
      </c>
      <c r="I2" t="s">
        <v>184</v>
      </c>
    </row>
    <row r="3" spans="2:9" x14ac:dyDescent="0.35">
      <c r="B3" t="s">
        <v>185</v>
      </c>
      <c r="C3" t="s">
        <v>186</v>
      </c>
      <c r="E3" t="s">
        <v>187</v>
      </c>
      <c r="G3" t="s">
        <v>188</v>
      </c>
      <c r="I3" t="s">
        <v>189</v>
      </c>
    </row>
    <row r="4" spans="2:9" x14ac:dyDescent="0.35">
      <c r="B4" t="s">
        <v>190</v>
      </c>
      <c r="C4" t="s">
        <v>191</v>
      </c>
      <c r="E4" t="s">
        <v>192</v>
      </c>
      <c r="G4" t="s">
        <v>193</v>
      </c>
      <c r="I4" t="s">
        <v>194</v>
      </c>
    </row>
    <row r="5" spans="2:9" x14ac:dyDescent="0.35">
      <c r="B5" t="s">
        <v>195</v>
      </c>
      <c r="C5" t="s">
        <v>196</v>
      </c>
      <c r="G5" t="s">
        <v>197</v>
      </c>
      <c r="I5" t="s">
        <v>198</v>
      </c>
    </row>
    <row r="6" spans="2:9" x14ac:dyDescent="0.35">
      <c r="B6" t="s">
        <v>199</v>
      </c>
      <c r="C6" t="s">
        <v>199</v>
      </c>
      <c r="G6" t="s">
        <v>200</v>
      </c>
      <c r="I6" t="s">
        <v>201</v>
      </c>
    </row>
    <row r="7" spans="2:9" x14ac:dyDescent="0.35">
      <c r="G7" t="s">
        <v>202</v>
      </c>
      <c r="I7" t="s">
        <v>203</v>
      </c>
    </row>
    <row r="8" spans="2:9" x14ac:dyDescent="0.35">
      <c r="G8" t="s">
        <v>204</v>
      </c>
    </row>
    <row r="9" spans="2:9" x14ac:dyDescent="0.35">
      <c r="G9" t="s">
        <v>205</v>
      </c>
    </row>
    <row r="10" spans="2:9" x14ac:dyDescent="0.35">
      <c r="G10" t="s">
        <v>206</v>
      </c>
    </row>
    <row r="11" spans="2:9" x14ac:dyDescent="0.35">
      <c r="G11" t="s">
        <v>207</v>
      </c>
    </row>
    <row r="12" spans="2:9" x14ac:dyDescent="0.35">
      <c r="G12" t="s">
        <v>208</v>
      </c>
    </row>
    <row r="14" spans="2:9" x14ac:dyDescent="0.35">
      <c r="I14" t="s">
        <v>184</v>
      </c>
    </row>
    <row r="15" spans="2:9" x14ac:dyDescent="0.35">
      <c r="I15" t="s">
        <v>209</v>
      </c>
    </row>
    <row r="16" spans="2:9" x14ac:dyDescent="0.35">
      <c r="I16" t="s">
        <v>210</v>
      </c>
    </row>
    <row r="17" spans="9:9" x14ac:dyDescent="0.35">
      <c r="I17" t="s">
        <v>211</v>
      </c>
    </row>
    <row r="18" spans="9:9" x14ac:dyDescent="0.35">
      <c r="I18" t="s">
        <v>212</v>
      </c>
    </row>
    <row r="22" spans="9:9" x14ac:dyDescent="0.35">
      <c r="I22" t="s">
        <v>184</v>
      </c>
    </row>
    <row r="23" spans="9:9" x14ac:dyDescent="0.35">
      <c r="I23" t="s">
        <v>213</v>
      </c>
    </row>
    <row r="24" spans="9:9" x14ac:dyDescent="0.35">
      <c r="I24" t="s">
        <v>214</v>
      </c>
    </row>
    <row r="25" spans="9:9" x14ac:dyDescent="0.35">
      <c r="I25" t="s">
        <v>199</v>
      </c>
    </row>
  </sheetData>
  <dataValidations count="1">
    <dataValidation type="list" allowBlank="1" showInputMessage="1" showErrorMessage="1" sqref="B7:B1048576 B1:B2" xr:uid="{AB163BE8-6522-4C5D-BCA1-525AB0ECDA12}">
      <formula1>$B$2:$B$5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XFC41"/>
  <sheetViews>
    <sheetView showGridLines="0" topLeftCell="A4" zoomScale="90" zoomScaleNormal="90" workbookViewId="0">
      <selection activeCell="D33" sqref="D33"/>
    </sheetView>
  </sheetViews>
  <sheetFormatPr defaultColWidth="0" defaultRowHeight="14.5" zeroHeight="1" x14ac:dyDescent="0.35"/>
  <cols>
    <col min="1" max="1" width="2.54296875" style="2" customWidth="1"/>
    <col min="2" max="2" width="44.1796875" style="2" bestFit="1" customWidth="1"/>
    <col min="3" max="5" width="25.81640625" style="2" customWidth="1"/>
    <col min="6" max="6" width="15.453125" style="2" customWidth="1"/>
    <col min="7" max="16383" width="8.7265625" style="2" hidden="1"/>
    <col min="16384" max="16384" width="29.7265625" style="2" customWidth="1"/>
  </cols>
  <sheetData>
    <row r="2" spans="2:5" ht="39.75" customHeight="1" x14ac:dyDescent="0.35">
      <c r="B2" s="138" t="s">
        <v>215</v>
      </c>
      <c r="C2" s="139"/>
      <c r="D2" s="139"/>
      <c r="E2" s="139"/>
    </row>
    <row r="3" spans="2:5" ht="60" customHeight="1" x14ac:dyDescent="0.35">
      <c r="B3" s="18" t="s">
        <v>216</v>
      </c>
      <c r="C3" s="140">
        <f>Questionário!$D$7</f>
        <v>0</v>
      </c>
      <c r="D3" s="141"/>
      <c r="E3" s="142"/>
    </row>
    <row r="4" spans="2:5" ht="60" customHeight="1" x14ac:dyDescent="0.35">
      <c r="B4" s="18" t="s">
        <v>217</v>
      </c>
      <c r="C4" s="140">
        <f>Questionário!$D$16</f>
        <v>0</v>
      </c>
      <c r="D4" s="141"/>
      <c r="E4" s="142"/>
    </row>
    <row r="5" spans="2:5" ht="60" customHeight="1" x14ac:dyDescent="0.35">
      <c r="B5" s="18" t="s">
        <v>218</v>
      </c>
      <c r="C5" s="143" t="e">
        <f>IF(E29&lt;0.49,"Não Recomendado - Risco critico",IF(E29&lt;=0.5,"Recomendado com Ressalva - Risco alto",IF(E29&lt;=1,"Recomendado - Risco médio",IF(E29&gt;=1.1,"Recomendado - Risco baixo"))))</f>
        <v>#REF!</v>
      </c>
      <c r="D5" s="144"/>
      <c r="E5" s="145"/>
    </row>
    <row r="6" spans="2:5" ht="60" customHeight="1" x14ac:dyDescent="0.35">
      <c r="B6" s="19" t="s">
        <v>219</v>
      </c>
      <c r="C6" s="146"/>
      <c r="D6" s="147"/>
      <c r="E6" s="148"/>
    </row>
    <row r="7" spans="2:5" ht="30.75" customHeight="1" x14ac:dyDescent="0.35">
      <c r="B7" s="20"/>
      <c r="C7" s="64"/>
      <c r="D7" s="64"/>
      <c r="E7" s="64"/>
    </row>
    <row r="8" spans="2:5" ht="30" customHeight="1" x14ac:dyDescent="0.35">
      <c r="B8" s="149" t="s">
        <v>218</v>
      </c>
      <c r="C8" s="149"/>
      <c r="D8" s="149"/>
      <c r="E8" s="149"/>
    </row>
    <row r="9" spans="2:5" s="17" customFormat="1" ht="30" customHeight="1" x14ac:dyDescent="0.35">
      <c r="B9" s="21" t="s">
        <v>220</v>
      </c>
      <c r="C9" s="150" t="s">
        <v>221</v>
      </c>
      <c r="D9" s="150" t="s">
        <v>222</v>
      </c>
      <c r="E9" s="150" t="s">
        <v>223</v>
      </c>
    </row>
    <row r="10" spans="2:5" ht="30" customHeight="1" x14ac:dyDescent="0.35">
      <c r="B10" s="21" t="s">
        <v>224</v>
      </c>
      <c r="C10" s="151"/>
      <c r="D10" s="151"/>
      <c r="E10" s="151"/>
    </row>
    <row r="11" spans="2:5" ht="30" customHeight="1" x14ac:dyDescent="0.35">
      <c r="B11" s="27" t="str">
        <f>Questionário!$B$33</f>
        <v>1. Privacidade de Dados</v>
      </c>
      <c r="C11" s="65">
        <f>SUM(Questionário!$E$35:$E$45)/20</f>
        <v>0.05</v>
      </c>
      <c r="D11" s="65">
        <f>SUM(Questionário!$G$35:$G$45)/20</f>
        <v>0</v>
      </c>
      <c r="E11" s="65">
        <f t="shared" ref="E11:E22" si="0">($C11+$D11)/2</f>
        <v>2.5000000000000001E-2</v>
      </c>
    </row>
    <row r="12" spans="2:5" ht="30" customHeight="1" x14ac:dyDescent="0.35">
      <c r="B12" s="27" t="str">
        <f>Questionário!$B$46</f>
        <v>2. Segurança da Informação</v>
      </c>
      <c r="C12" s="65">
        <f>SUM(Questionário!$E$48:$E$58)/5</f>
        <v>0</v>
      </c>
      <c r="D12" s="65">
        <f>SUM(Questionário!$G$48:$G$58)/5</f>
        <v>0</v>
      </c>
      <c r="E12" s="65">
        <f t="shared" si="0"/>
        <v>0</v>
      </c>
    </row>
    <row r="13" spans="2:5" ht="30" customHeight="1" x14ac:dyDescent="0.35">
      <c r="B13" s="27" t="str">
        <f>Questionário!$B$60</f>
        <v>3. Arquitetura de Segurança</v>
      </c>
      <c r="C13" s="65">
        <f>SUM(Questionário!$E$89:$E$97)/7</f>
        <v>0</v>
      </c>
      <c r="D13" s="65">
        <f>SUM(Questionário!$G$89:$G$97)/7</f>
        <v>0</v>
      </c>
      <c r="E13" s="65">
        <f t="shared" si="0"/>
        <v>0</v>
      </c>
    </row>
    <row r="14" spans="2:5" ht="30" customHeight="1" x14ac:dyDescent="0.35">
      <c r="B14" s="27" t="str">
        <f>Questionário!$B$99</f>
        <v>4. InfraEstrutura</v>
      </c>
      <c r="C14" s="65">
        <f>SUM(Questionário!$E$101:$E$113)/13</f>
        <v>0</v>
      </c>
      <c r="D14" s="65">
        <f>SUM(Questionário!$G$101:$G$113)/13</f>
        <v>0</v>
      </c>
      <c r="E14" s="65">
        <f t="shared" si="0"/>
        <v>0</v>
      </c>
    </row>
    <row r="15" spans="2:5" ht="34" customHeight="1" x14ac:dyDescent="0.35">
      <c r="B15" s="22" t="s">
        <v>173</v>
      </c>
      <c r="C15" s="65">
        <f>SUM(Questionário!$E$117:$E$121)/4</f>
        <v>0</v>
      </c>
      <c r="D15" s="65">
        <f>SUM(Questionário!$G$117:$G$121)/4</f>
        <v>0</v>
      </c>
      <c r="E15" s="65">
        <f t="shared" si="0"/>
        <v>0</v>
      </c>
    </row>
    <row r="16" spans="2:5" ht="30" customHeight="1" x14ac:dyDescent="0.35">
      <c r="B16" s="27" t="e">
        <f>Questionário!#REF!</f>
        <v>#REF!</v>
      </c>
      <c r="C16" s="65" t="e">
        <f>SUM(Questionário!#REF!)/3</f>
        <v>#REF!</v>
      </c>
      <c r="D16" s="65" t="e">
        <f>SUM(Questionário!#REF!)/3</f>
        <v>#REF!</v>
      </c>
      <c r="E16" s="65" t="e">
        <f t="shared" si="0"/>
        <v>#REF!</v>
      </c>
    </row>
    <row r="17" spans="2:5" ht="30" customHeight="1" x14ac:dyDescent="0.35">
      <c r="B17" s="27" t="e">
        <f>Questionário!#REF!</f>
        <v>#REF!</v>
      </c>
      <c r="C17" s="65" t="e">
        <f>SUM(Questionário!#REF!)/3</f>
        <v>#REF!</v>
      </c>
      <c r="D17" s="65" t="e">
        <f>SUM(Questionário!#REF!)/3</f>
        <v>#REF!</v>
      </c>
      <c r="E17" s="65" t="e">
        <f t="shared" si="0"/>
        <v>#REF!</v>
      </c>
    </row>
    <row r="18" spans="2:5" ht="30" customHeight="1" x14ac:dyDescent="0.35">
      <c r="B18" s="27" t="e">
        <f>Questionário!#REF!</f>
        <v>#REF!</v>
      </c>
      <c r="C18" s="65" t="e">
        <f>SUM(Questionário!#REF!)/7</f>
        <v>#REF!</v>
      </c>
      <c r="D18" s="65" t="e">
        <f>SUM(Questionário!#REF!)/7</f>
        <v>#REF!</v>
      </c>
      <c r="E18" s="65" t="e">
        <f t="shared" si="0"/>
        <v>#REF!</v>
      </c>
    </row>
    <row r="19" spans="2:5" ht="30" customHeight="1" x14ac:dyDescent="0.35">
      <c r="B19" s="27" t="e">
        <f>Questionário!#REF!</f>
        <v>#REF!</v>
      </c>
      <c r="C19" s="65" t="e">
        <f>SUM(Questionário!#REF!)/21</f>
        <v>#REF!</v>
      </c>
      <c r="D19" s="65" t="e">
        <f>SUM(Questionário!#REF!)/21</f>
        <v>#REF!</v>
      </c>
      <c r="E19" s="65" t="e">
        <f t="shared" si="0"/>
        <v>#REF!</v>
      </c>
    </row>
    <row r="20" spans="2:5" ht="30" customHeight="1" x14ac:dyDescent="0.35">
      <c r="B20" s="27" t="e">
        <f>Questionário!#REF!</f>
        <v>#REF!</v>
      </c>
      <c r="C20" s="66" t="e">
        <f>SUM(Questionário!#REF!)/7</f>
        <v>#REF!</v>
      </c>
      <c r="D20" s="66" t="e">
        <f>SUM(Questionário!#REF!)/7</f>
        <v>#REF!</v>
      </c>
      <c r="E20" s="66" t="e">
        <f t="shared" si="0"/>
        <v>#REF!</v>
      </c>
    </row>
    <row r="21" spans="2:5" ht="30" customHeight="1" x14ac:dyDescent="0.35">
      <c r="B21" s="27" t="e">
        <f>Questionário!#REF!</f>
        <v>#REF!</v>
      </c>
      <c r="C21" s="66" t="e">
        <f>SUM(Questionário!#REF!)/5</f>
        <v>#REF!</v>
      </c>
      <c r="D21" s="66" t="e">
        <f>SUM(Questionário!#REF!)/5</f>
        <v>#REF!</v>
      </c>
      <c r="E21" s="66" t="e">
        <f t="shared" si="0"/>
        <v>#REF!</v>
      </c>
    </row>
    <row r="22" spans="2:5" ht="30" customHeight="1" x14ac:dyDescent="0.35">
      <c r="B22" s="27" t="e">
        <f>Questionário!#REF!</f>
        <v>#REF!</v>
      </c>
      <c r="C22" s="66" t="e">
        <f>SUM(Questionário!#REF!)/14</f>
        <v>#REF!</v>
      </c>
      <c r="D22" s="66" t="e">
        <f>SUM(Questionário!#REF!)/14</f>
        <v>#REF!</v>
      </c>
      <c r="E22" s="66" t="e">
        <f t="shared" si="0"/>
        <v>#REF!</v>
      </c>
    </row>
    <row r="23" spans="2:5" ht="30" customHeight="1" x14ac:dyDescent="0.35">
      <c r="B23" s="23" t="s">
        <v>225</v>
      </c>
      <c r="C23" s="67"/>
      <c r="D23" s="67"/>
      <c r="E23" s="67"/>
    </row>
    <row r="24" spans="2:5" ht="30" customHeight="1" x14ac:dyDescent="0.35">
      <c r="B24" s="27" t="e">
        <f>Questionário!#REF!</f>
        <v>#REF!</v>
      </c>
      <c r="C24" s="66" t="e">
        <f>SUM(Questionário!#REF!)/13</f>
        <v>#REF!</v>
      </c>
      <c r="D24" s="66" t="e">
        <f>SUM(Questionário!#REF!)/13</f>
        <v>#REF!</v>
      </c>
      <c r="E24" s="66" t="e">
        <f>($C24+$D24)/2</f>
        <v>#REF!</v>
      </c>
    </row>
    <row r="25" spans="2:5" ht="30" customHeight="1" x14ac:dyDescent="0.35">
      <c r="B25" s="27" t="e">
        <f>Questionário!#REF!</f>
        <v>#REF!</v>
      </c>
      <c r="C25" s="66" t="e">
        <f>SUM(Questionário!#REF!)/5</f>
        <v>#REF!</v>
      </c>
      <c r="D25" s="66" t="e">
        <f>SUM(Questionário!#REF!)/5</f>
        <v>#REF!</v>
      </c>
      <c r="E25" s="66" t="e">
        <f>($C25+$D25)/2</f>
        <v>#REF!</v>
      </c>
    </row>
    <row r="26" spans="2:5" ht="30" customHeight="1" x14ac:dyDescent="0.35">
      <c r="B26" s="27" t="e">
        <f>Questionário!#REF!</f>
        <v>#REF!</v>
      </c>
      <c r="C26" s="66" t="e">
        <f>SUM(Questionário!#REF!)/6</f>
        <v>#REF!</v>
      </c>
      <c r="D26" s="66" t="e">
        <f>SUM(Questionário!#REF!)/6</f>
        <v>#REF!</v>
      </c>
      <c r="E26" s="66" t="e">
        <f>($C26+$D26)/2</f>
        <v>#REF!</v>
      </c>
    </row>
    <row r="27" spans="2:5" ht="30" customHeight="1" x14ac:dyDescent="0.35">
      <c r="B27" s="27" t="e">
        <f>Questionário!#REF!</f>
        <v>#REF!</v>
      </c>
      <c r="C27" s="66" t="e">
        <f>SUM(Questionário!#REF!)/4</f>
        <v>#REF!</v>
      </c>
      <c r="D27" s="66" t="e">
        <f>SUM(Questionário!#REF!)/4</f>
        <v>#REF!</v>
      </c>
      <c r="E27" s="66" t="e">
        <f>($C27+$D27)/2</f>
        <v>#REF!</v>
      </c>
    </row>
    <row r="28" spans="2:5" ht="30" customHeight="1" x14ac:dyDescent="0.35">
      <c r="B28" s="27" t="e">
        <f>Questionário!#REF!</f>
        <v>#REF!</v>
      </c>
      <c r="C28" s="66" t="e">
        <f>SUM(Questionário!#REF!)/11</f>
        <v>#REF!</v>
      </c>
      <c r="D28" s="66" t="e">
        <f>SUM(Questionário!#REF!)/11</f>
        <v>#REF!</v>
      </c>
      <c r="E28" s="66" t="e">
        <f>($C28+$D28)/2</f>
        <v>#REF!</v>
      </c>
    </row>
    <row r="29" spans="2:5" ht="30" customHeight="1" x14ac:dyDescent="0.35">
      <c r="B29" s="24" t="s">
        <v>226</v>
      </c>
      <c r="C29" s="25"/>
      <c r="D29" s="25"/>
      <c r="E29" s="28" t="e">
        <f>SUM(E11:E28)/17</f>
        <v>#REF!</v>
      </c>
    </row>
    <row r="30" spans="2:5" x14ac:dyDescent="0.35"/>
    <row r="31" spans="2:5" x14ac:dyDescent="0.35"/>
    <row r="32" spans="2:5" s="3" customFormat="1" ht="35.15" customHeight="1" x14ac:dyDescent="0.35">
      <c r="B32" s="136" t="s">
        <v>227</v>
      </c>
      <c r="C32" s="137"/>
      <c r="D32" s="26" t="s">
        <v>228</v>
      </c>
    </row>
    <row r="33" spans="2:6" ht="35.15" customHeight="1" x14ac:dyDescent="0.35">
      <c r="B33" s="68" t="s">
        <v>229</v>
      </c>
      <c r="C33" s="69" t="s">
        <v>230</v>
      </c>
      <c r="D33" s="69" t="s">
        <v>231</v>
      </c>
    </row>
    <row r="34" spans="2:6" ht="35.15" customHeight="1" x14ac:dyDescent="0.35">
      <c r="B34" s="68" t="s">
        <v>232</v>
      </c>
      <c r="C34" s="69" t="s">
        <v>233</v>
      </c>
      <c r="D34" s="69" t="s">
        <v>234</v>
      </c>
    </row>
    <row r="35" spans="2:6" ht="35.15" customHeight="1" x14ac:dyDescent="0.35">
      <c r="B35" s="68" t="s">
        <v>235</v>
      </c>
      <c r="C35" s="69" t="s">
        <v>236</v>
      </c>
      <c r="D35" s="69" t="s">
        <v>237</v>
      </c>
    </row>
    <row r="36" spans="2:6" x14ac:dyDescent="0.35"/>
    <row r="37" spans="2:6" x14ac:dyDescent="0.35"/>
    <row r="38" spans="2:6" ht="35.15" customHeight="1" x14ac:dyDescent="0.35">
      <c r="B38" s="136" t="s">
        <v>238</v>
      </c>
      <c r="C38" s="137"/>
      <c r="D38" s="26" t="s">
        <v>228</v>
      </c>
      <c r="E38" s="26" t="s">
        <v>239</v>
      </c>
      <c r="F38" s="26" t="s">
        <v>240</v>
      </c>
    </row>
    <row r="39" spans="2:6" ht="35.15" customHeight="1" x14ac:dyDescent="0.35">
      <c r="B39" s="68" t="s">
        <v>241</v>
      </c>
      <c r="C39" s="69" t="s">
        <v>242</v>
      </c>
      <c r="D39" s="69" t="s">
        <v>231</v>
      </c>
      <c r="E39" s="70"/>
      <c r="F39" s="133" t="str">
        <f>IF(E40=0.5,"Risco Baixo",IF(E40=0.25,"Risco Médio",IF(E40=-0.5,"Risco alto/Crítico","N/A")))</f>
        <v>N/A</v>
      </c>
    </row>
    <row r="40" spans="2:6" ht="35.15" customHeight="1" x14ac:dyDescent="0.35">
      <c r="B40" s="68" t="s">
        <v>243</v>
      </c>
      <c r="C40" s="69" t="s">
        <v>244</v>
      </c>
      <c r="D40" s="69" t="s">
        <v>234</v>
      </c>
      <c r="E40" s="71" t="s">
        <v>199</v>
      </c>
      <c r="F40" s="134"/>
    </row>
    <row r="41" spans="2:6" ht="35.15" customHeight="1" x14ac:dyDescent="0.35">
      <c r="B41" s="68" t="s">
        <v>245</v>
      </c>
      <c r="C41" s="72" t="s">
        <v>246</v>
      </c>
      <c r="D41" s="69" t="s">
        <v>247</v>
      </c>
      <c r="E41" s="73"/>
      <c r="F41" s="135"/>
    </row>
  </sheetData>
  <sheetProtection selectLockedCells="1" selectUnlockedCells="1"/>
  <mergeCells count="12">
    <mergeCell ref="F39:F41"/>
    <mergeCell ref="B38:C38"/>
    <mergeCell ref="B32:C32"/>
    <mergeCell ref="B2:E2"/>
    <mergeCell ref="C3:E3"/>
    <mergeCell ref="C4:E4"/>
    <mergeCell ref="C5:E5"/>
    <mergeCell ref="C6:E6"/>
    <mergeCell ref="B8:E8"/>
    <mergeCell ref="C9:C10"/>
    <mergeCell ref="D9:D10"/>
    <mergeCell ref="E9:E10"/>
  </mergeCells>
  <phoneticPr fontId="8" type="noConversion"/>
  <conditionalFormatting sqref="C5:E5">
    <cfRule type="containsText" dxfId="10" priority="4" operator="containsText" text="Recomendado com Ressalva - Risco alto">
      <formula>NOT(ISERROR(SEARCH("Recomendado com Ressalva - Risco alto",C5)))</formula>
    </cfRule>
    <cfRule type="containsText" dxfId="9" priority="5" operator="containsText" text="Recomendado - Risco baixo">
      <formula>NOT(ISERROR(SEARCH("Recomendado - Risco baixo",C5)))</formula>
    </cfRule>
    <cfRule type="containsText" dxfId="8" priority="6" operator="containsText" text="Recomendado - Risco médio">
      <formula>NOT(ISERROR(SEARCH("Recomendado - Risco médio",C5)))</formula>
    </cfRule>
    <cfRule type="containsText" dxfId="7" priority="8" operator="containsText" text="Não Recomendado - Risco critico">
      <formula>NOT(ISERROR(SEARCH("Não Recomendado - Risco critico",C5)))</formula>
    </cfRule>
    <cfRule type="cellIs" dxfId="6" priority="9" operator="equal">
      <formula>$B$33</formula>
    </cfRule>
    <cfRule type="cellIs" dxfId="5" priority="10" operator="equal">
      <formula>$B$34</formula>
    </cfRule>
    <cfRule type="cellIs" dxfId="4" priority="11" operator="equal">
      <formula>$B$35</formula>
    </cfRule>
  </conditionalFormatting>
  <conditionalFormatting sqref="F39:F41">
    <cfRule type="containsText" dxfId="3" priority="1" operator="containsText" text="Risco alto/Crítico">
      <formula>NOT(ISERROR(SEARCH("Risco alto/Crítico",F39)))</formula>
    </cfRule>
    <cfRule type="containsText" dxfId="2" priority="2" operator="containsText" text="Risco Médio">
      <formula>NOT(ISERROR(SEARCH("Risco Médio",F39)))</formula>
    </cfRule>
    <cfRule type="containsText" dxfId="1" priority="3" operator="containsText" text="Risco Baixo">
      <formula>NOT(ISERROR(SEARCH("Risco Baixo",F39)))</formula>
    </cfRule>
  </conditionalFormatting>
  <conditionalFormatting sqref="XFD5">
    <cfRule type="containsText" dxfId="0" priority="7" operator="containsText" text="Recomendado com Ressalva - Risco alto">
      <formula>NOT(ISERROR(SEARCH("Recomendado com Ressalva - Risco alto",XFD5)))</formula>
    </cfRule>
  </conditionalFormatting>
  <dataValidations count="1">
    <dataValidation type="list" allowBlank="1" showInputMessage="1" showErrorMessage="1" sqref="E40" xr:uid="{6BC1E016-0C8F-441A-970F-E00D98383214}">
      <formula1>"0,5,0,25,-0,5,N/A"</formula1>
    </dataValidation>
  </dataValidations>
  <pageMargins left="0.7" right="0.7" top="0.75" bottom="0.75" header="0.3" footer="0.3"/>
  <pageSetup paperSize="9" orientation="portrait" r:id="rId1"/>
  <headerFooter>
    <oddFooter>&amp;L_x000D_&amp;1#&amp;"Calibri"&amp;8&amp;KA80000 Este documento é: Confidencial. A informação contida neste documento deve receber os mais altos níveis adequados de proteção contra acesso não autorizado..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U15"/>
  <sheetViews>
    <sheetView showGridLines="0" topLeftCell="A2" zoomScale="110" zoomScaleNormal="110" workbookViewId="0">
      <selection activeCell="R11" sqref="R11"/>
    </sheetView>
  </sheetViews>
  <sheetFormatPr defaultColWidth="0" defaultRowHeight="14.5" zeroHeight="1" x14ac:dyDescent="0.35"/>
  <cols>
    <col min="1" max="1" width="2.54296875" style="2" customWidth="1"/>
    <col min="2" max="2" width="36.26953125" style="2" bestFit="1" customWidth="1"/>
    <col min="3" max="3" width="15.54296875" style="2" customWidth="1"/>
    <col min="4" max="4" width="16.7265625" style="2" bestFit="1" customWidth="1"/>
    <col min="5" max="7" width="15.54296875" style="2" customWidth="1"/>
    <col min="8" max="8" width="5.54296875" style="2" customWidth="1"/>
    <col min="9" max="13" width="8.7265625" style="2" customWidth="1"/>
    <col min="14" max="14" width="16" style="2" customWidth="1"/>
    <col min="15" max="19" width="8.7265625" style="2" customWidth="1"/>
    <col min="20" max="20" width="16.26953125" style="2" customWidth="1"/>
    <col min="21" max="21" width="14.7265625" style="2" customWidth="1"/>
    <col min="22" max="16384" width="8.7265625" style="2" hidden="1"/>
  </cols>
  <sheetData>
    <row r="2" spans="1:7" ht="30" customHeight="1" x14ac:dyDescent="0.35">
      <c r="B2" s="29" t="s">
        <v>248</v>
      </c>
      <c r="C2" s="30" t="s">
        <v>249</v>
      </c>
      <c r="D2" s="30" t="s">
        <v>250</v>
      </c>
      <c r="E2" s="30" t="s">
        <v>251</v>
      </c>
      <c r="F2" s="30" t="s">
        <v>199</v>
      </c>
      <c r="G2" s="30" t="s">
        <v>226</v>
      </c>
    </row>
    <row r="3" spans="1:7" ht="18" customHeight="1" x14ac:dyDescent="0.35">
      <c r="B3" s="31" t="s">
        <v>252</v>
      </c>
      <c r="C3" s="32">
        <f>COUNTIF(Questionário!$F$34:$F$43,Gráfico!$C2)</f>
        <v>0</v>
      </c>
      <c r="D3" s="32">
        <f>COUNTIF(Questionário!$F$34:$F$43,Gráfico!$D2)</f>
        <v>0</v>
      </c>
      <c r="E3" s="32">
        <f>COUNTIF(Questionário!$F$34:$F$43,Gráfico!$E2)</f>
        <v>0</v>
      </c>
      <c r="F3" s="32">
        <f>COUNTIF(Questionário!$F$34:$F$43,Gráfico!$F2)</f>
        <v>0</v>
      </c>
      <c r="G3" s="32">
        <f>SUM($C3:$F3)</f>
        <v>0</v>
      </c>
    </row>
    <row r="4" spans="1:7" ht="18" customHeight="1" x14ac:dyDescent="0.35">
      <c r="B4" s="31" t="s">
        <v>253</v>
      </c>
      <c r="C4" s="33">
        <f>COUNTIF(Questionário!$F$48:$F$56,Gráfico!$C2)</f>
        <v>0</v>
      </c>
      <c r="D4" s="32">
        <f>COUNTIF(Questionário!$F$48:$F$56,Gráfico!$D2)</f>
        <v>0</v>
      </c>
      <c r="E4" s="32">
        <f>COUNTIF(Questionário!$F$48:$F$56,Gráfico!$E2)</f>
        <v>0</v>
      </c>
      <c r="F4" s="32">
        <f>COUNTIF(Questionário!$F$48:$F$56,Gráfico!$F2)</f>
        <v>0</v>
      </c>
      <c r="G4" s="32">
        <f t="shared" ref="G4:G7" si="0">SUM($C4:$F4)</f>
        <v>0</v>
      </c>
    </row>
    <row r="5" spans="1:7" ht="18" customHeight="1" x14ac:dyDescent="0.35">
      <c r="B5" s="31" t="s">
        <v>254</v>
      </c>
      <c r="C5" s="33">
        <f>COUNTIF(Questionário!$F$89:$F$89,Gráfico!$C2)</f>
        <v>0</v>
      </c>
      <c r="D5" s="32">
        <f>COUNTIF(Questionário!$F$89:$F$89,Gráfico!$D2)</f>
        <v>0</v>
      </c>
      <c r="E5" s="32">
        <f>COUNTIF(Questionário!$F$89:$F$89,Gráfico!$E2)</f>
        <v>0</v>
      </c>
      <c r="F5" s="32">
        <f>COUNTIF(Questionário!$F$89:$F$89,Gráfico!$F2)</f>
        <v>0</v>
      </c>
      <c r="G5" s="32">
        <f t="shared" si="0"/>
        <v>0</v>
      </c>
    </row>
    <row r="6" spans="1:7" ht="18" customHeight="1" x14ac:dyDescent="0.35">
      <c r="B6" s="31" t="s">
        <v>255</v>
      </c>
      <c r="C6" s="33">
        <f>COUNTIF(Questionário!$F$101:$F$113,Gráfico!$C2)</f>
        <v>0</v>
      </c>
      <c r="D6" s="32">
        <f>COUNTIF(Questionário!$F$101:$F$113,Gráfico!$D2)</f>
        <v>0</v>
      </c>
      <c r="E6" s="32">
        <f>COUNTIF(Questionário!$F$101:$F$113,Gráfico!$E2)</f>
        <v>0</v>
      </c>
      <c r="F6" s="32">
        <f>COUNTIF(Questionário!$F$101:$F$113,Gráfico!$F2)</f>
        <v>0</v>
      </c>
      <c r="G6" s="32">
        <f t="shared" si="0"/>
        <v>0</v>
      </c>
    </row>
    <row r="7" spans="1:7" ht="18" customHeight="1" x14ac:dyDescent="0.35">
      <c r="B7" s="31" t="s">
        <v>256</v>
      </c>
      <c r="C7" s="32">
        <f>COUNTIF(Questionário!$F$117:$F$121,Gráfico!$C2)</f>
        <v>0</v>
      </c>
      <c r="D7" s="32">
        <f>COUNTIF(Questionário!$F$117:$F$121,Gráfico!$D2)</f>
        <v>0</v>
      </c>
      <c r="E7" s="32">
        <f>COUNTIF(Questionário!$F$117:$F$121,Gráfico!$E2)</f>
        <v>0</v>
      </c>
      <c r="F7" s="32">
        <f>COUNTIF(Questionário!$F$117:$F$121,Gráfico!$F2)</f>
        <v>0</v>
      </c>
      <c r="G7" s="32">
        <f t="shared" si="0"/>
        <v>0</v>
      </c>
    </row>
    <row r="8" spans="1:7" x14ac:dyDescent="0.35"/>
    <row r="9" spans="1:7" x14ac:dyDescent="0.35"/>
    <row r="10" spans="1:7" x14ac:dyDescent="0.35"/>
    <row r="11" spans="1:7" x14ac:dyDescent="0.35"/>
    <row r="12" spans="1:7" x14ac:dyDescent="0.35"/>
    <row r="13" spans="1:7" x14ac:dyDescent="0.35"/>
    <row r="14" spans="1:7" x14ac:dyDescent="0.35"/>
    <row r="15" spans="1:7" hidden="1" x14ac:dyDescent="0.35">
      <c r="A15" s="2" t="s">
        <v>257</v>
      </c>
    </row>
  </sheetData>
  <sheetProtection selectLockedCells="1" selectUnlockedCells="1"/>
  <pageMargins left="0.7" right="0.7" top="0.75" bottom="0.75" header="0.3" footer="0.3"/>
  <pageSetup orientation="portrait" r:id="rId1"/>
  <headerFooter>
    <oddFooter>&amp;L_x000D_&amp;1#&amp;"Calibri"&amp;8&amp;KA80000 Este documento é: Confidencial. A informação contida neste documento deve receber os mais altos níveis adequados de proteção contra acesso não autorizado..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A2E1E5449C63499472089D2021C29A" ma:contentTypeVersion="15" ma:contentTypeDescription="Create a new document." ma:contentTypeScope="" ma:versionID="36437b02dbc9119d2c250a8bc33cd715">
  <xsd:schema xmlns:xsd="http://www.w3.org/2001/XMLSchema" xmlns:xs="http://www.w3.org/2001/XMLSchema" xmlns:p="http://schemas.microsoft.com/office/2006/metadata/properties" xmlns:ns2="039db791-10b8-4a30-89d0-299e350e2014" xmlns:ns3="b124afd3-a636-4d70-a9f7-c334223a5f4d" targetNamespace="http://schemas.microsoft.com/office/2006/metadata/properties" ma:root="true" ma:fieldsID="960bf305aeed1eca9bec35517160a75b" ns2:_="" ns3:_="">
    <xsd:import namespace="039db791-10b8-4a30-89d0-299e350e2014"/>
    <xsd:import namespace="b124afd3-a636-4d70-a9f7-c334223a5f4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db791-10b8-4a30-89d0-299e350e201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fb75279-dc72-4322-81c3-82dbd5fe8051}" ma:internalName="TaxCatchAll" ma:readOnly="false" ma:showField="CatchAllData" ma:web="039db791-10b8-4a30-89d0-299e350e20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4afd3-a636-4d70-a9f7-c334223a5f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d779667-accb-4501-8c2b-abcca25944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24afd3-a636-4d70-a9f7-c334223a5f4d">
      <Terms xmlns="http://schemas.microsoft.com/office/infopath/2007/PartnerControls"/>
    </lcf76f155ced4ddcb4097134ff3c332f>
    <TaxCatchAll xmlns="039db791-10b8-4a30-89d0-299e350e2014" xsi:nil="true"/>
    <MediaLengthInSeconds xmlns="b124afd3-a636-4d70-a9f7-c334223a5f4d" xsi:nil="true"/>
    <SharedWithUsers xmlns="039db791-10b8-4a30-89d0-299e350e2014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4DCC605-91C4-4CB4-A14E-8A49794430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9db791-10b8-4a30-89d0-299e350e2014"/>
    <ds:schemaRef ds:uri="b124afd3-a636-4d70-a9f7-c334223a5f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1572CD-5ADE-4A25-97B5-A6F2E63F62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DBAEA6-1493-4C1A-B0A3-86EB8D790DE3}">
  <ds:schemaRefs>
    <ds:schemaRef ds:uri="http://schemas.microsoft.com/office/2006/metadata/properties"/>
    <ds:schemaRef ds:uri="http://schemas.microsoft.com/office/infopath/2007/PartnerControls"/>
    <ds:schemaRef ds:uri="b124afd3-a636-4d70-a9f7-c334223a5f4d"/>
    <ds:schemaRef ds:uri="039db791-10b8-4a30-89d0-299e350e2014"/>
  </ds:schemaRefs>
</ds:datastoreItem>
</file>

<file path=docMetadata/LabelInfo.xml><?xml version="1.0" encoding="utf-8"?>
<clbl:labelList xmlns:clbl="http://schemas.microsoft.com/office/2020/mipLabelMetadata">
  <clbl:label id="{e942b696-35aa-42db-aff5-158d31fcc434}" enabled="0" method="" siteId="{e942b696-35aa-42db-aff5-158d31fcc4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Questionário</vt:lpstr>
      <vt:lpstr>Lista</vt:lpstr>
      <vt:lpstr>Pontuação</vt:lpstr>
      <vt:lpstr>Gráfico</vt:lpstr>
    </vt:vector>
  </TitlesOfParts>
  <Manager/>
  <Company>Banco Modal S.A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MICHELLE DIONISIO DE JESUS</dc:creator>
  <cp:keywords/>
  <dc:description/>
  <cp:lastModifiedBy>Luis Filipe Vau Felix E Silva</cp:lastModifiedBy>
  <cp:revision/>
  <dcterms:created xsi:type="dcterms:W3CDTF">2020-02-05T18:17:26Z</dcterms:created>
  <dcterms:modified xsi:type="dcterms:W3CDTF">2026-04-28T17:52:40Z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59db4c-60d5-4eb7-afa1-c22c8565c3db_Enabled">
    <vt:lpwstr>true</vt:lpwstr>
  </property>
  <property fmtid="{D5CDD505-2E9C-101B-9397-08002B2CF9AE}" pid="3" name="MSIP_Label_3859db4c-60d5-4eb7-afa1-c22c8565c3db_SetDate">
    <vt:lpwstr>2023-08-17T22:01:49Z</vt:lpwstr>
  </property>
  <property fmtid="{D5CDD505-2E9C-101B-9397-08002B2CF9AE}" pid="4" name="MSIP_Label_3859db4c-60d5-4eb7-afa1-c22c8565c3db_Method">
    <vt:lpwstr>Standard</vt:lpwstr>
  </property>
  <property fmtid="{D5CDD505-2E9C-101B-9397-08002B2CF9AE}" pid="5" name="MSIP_Label_3859db4c-60d5-4eb7-afa1-c22c8565c3db_Name">
    <vt:lpwstr>Confidencial</vt:lpwstr>
  </property>
  <property fmtid="{D5CDD505-2E9C-101B-9397-08002B2CF9AE}" pid="6" name="MSIP_Label_3859db4c-60d5-4eb7-afa1-c22c8565c3db_SiteId">
    <vt:lpwstr>703f1814-b5cf-4316-be4d-de2cb4d1eead</vt:lpwstr>
  </property>
  <property fmtid="{D5CDD505-2E9C-101B-9397-08002B2CF9AE}" pid="7" name="MSIP_Label_3859db4c-60d5-4eb7-afa1-c22c8565c3db_ActionId">
    <vt:lpwstr>9da90bdb-a562-405a-ab9b-6e97e69d936a</vt:lpwstr>
  </property>
  <property fmtid="{D5CDD505-2E9C-101B-9397-08002B2CF9AE}" pid="8" name="MSIP_Label_3859db4c-60d5-4eb7-afa1-c22c8565c3db_ContentBits">
    <vt:lpwstr>2</vt:lpwstr>
  </property>
  <property fmtid="{D5CDD505-2E9C-101B-9397-08002B2CF9AE}" pid="9" name="ContentTypeId">
    <vt:lpwstr>0x0101002FA2E1E5449C63499472089D2021C29A</vt:lpwstr>
  </property>
  <property fmtid="{D5CDD505-2E9C-101B-9397-08002B2CF9AE}" pid="10" name="MediaServiceImageTags">
    <vt:lpwstr/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  <property fmtid="{D5CDD505-2E9C-101B-9397-08002B2CF9AE}" pid="17" name="GUID">
    <vt:lpwstr>2094f66e-b479-4676-b7a3-ee825da62ee1</vt:lpwstr>
  </property>
</Properties>
</file>